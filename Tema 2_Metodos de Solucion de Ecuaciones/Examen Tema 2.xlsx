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rar\Downloads\"/>
    </mc:Choice>
  </mc:AlternateContent>
  <xr:revisionPtr revIDLastSave="0" documentId="8_{B4ABC183-8526-4229-A40C-6D28A6D85D92}" xr6:coauthVersionLast="47" xr6:coauthVersionMax="47" xr10:uidLastSave="{00000000-0000-0000-0000-000000000000}"/>
  <bookViews>
    <workbookView xWindow="1776" yWindow="1776" windowWidth="17280" windowHeight="8880" activeTab="2" xr2:uid="{24FDC581-1D46-435A-988E-D09114334480}"/>
  </bookViews>
  <sheets>
    <sheet name="Bisecciónn" sheetId="1" r:id="rId1"/>
    <sheet name="Secante" sheetId="2" r:id="rId2"/>
    <sheet name="grafic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" i="3" l="1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3" i="3"/>
  <c r="D4" i="2"/>
  <c r="E3" i="2"/>
  <c r="B3" i="1"/>
  <c r="D3" i="1" s="1"/>
  <c r="D3" i="2"/>
  <c r="E3" i="1"/>
  <c r="C3" i="1"/>
  <c r="H2" i="1"/>
  <c r="D2" i="1"/>
  <c r="F2" i="1"/>
  <c r="E2" i="1"/>
  <c r="F3" i="2" l="1"/>
  <c r="C4" i="2" s="1"/>
  <c r="E4" i="2" s="1"/>
  <c r="F3" i="1"/>
  <c r="H3" i="1" s="1"/>
  <c r="B4" i="1"/>
  <c r="C4" i="1"/>
  <c r="E4" i="1" s="1"/>
  <c r="G3" i="1"/>
  <c r="F4" i="2" l="1"/>
  <c r="F4" i="1"/>
  <c r="H4" i="1" s="1"/>
  <c r="D4" i="1"/>
  <c r="G4" i="2" l="1"/>
  <c r="G3" i="2"/>
  <c r="B5" i="1"/>
  <c r="C5" i="1"/>
  <c r="G4" i="1"/>
  <c r="E5" i="1"/>
  <c r="D5" i="1" l="1"/>
  <c r="F5" i="1"/>
  <c r="H5" i="1" s="1"/>
  <c r="B6" i="1" l="1"/>
  <c r="C6" i="1"/>
  <c r="E6" i="1"/>
  <c r="G5" i="1"/>
  <c r="D6" i="1" l="1"/>
  <c r="F6" i="1"/>
  <c r="H6" i="1" s="1"/>
  <c r="B7" i="1" l="1"/>
  <c r="C7" i="1"/>
  <c r="G6" i="1"/>
  <c r="E7" i="1"/>
  <c r="D7" i="1" l="1"/>
  <c r="F7" i="1"/>
  <c r="H7" i="1" s="1"/>
  <c r="B8" i="1" l="1"/>
  <c r="C8" i="1"/>
  <c r="E8" i="1" s="1"/>
  <c r="G7" i="1"/>
  <c r="D8" i="1" l="1"/>
  <c r="F8" i="1"/>
  <c r="H8" i="1" s="1"/>
  <c r="B9" i="1" l="1"/>
  <c r="C9" i="1"/>
  <c r="E9" i="1" s="1"/>
  <c r="G8" i="1"/>
  <c r="D9" i="1" l="1"/>
  <c r="F9" i="1"/>
  <c r="H9" i="1" s="1"/>
  <c r="B10" i="1" l="1"/>
  <c r="C10" i="1"/>
  <c r="E10" i="1" s="1"/>
  <c r="G9" i="1"/>
  <c r="D10" i="1" l="1"/>
  <c r="F10" i="1"/>
  <c r="H10" i="1" s="1"/>
  <c r="B11" i="1" l="1"/>
  <c r="C11" i="1"/>
  <c r="E11" i="1" s="1"/>
  <c r="G10" i="1"/>
  <c r="D11" i="1" l="1"/>
  <c r="F11" i="1"/>
  <c r="H11" i="1" s="1"/>
  <c r="B12" i="1" l="1"/>
  <c r="C12" i="1"/>
  <c r="G11" i="1"/>
  <c r="E12" i="1"/>
  <c r="F12" i="1" l="1"/>
  <c r="H12" i="1" s="1"/>
  <c r="D12" i="1"/>
  <c r="B13" i="1" l="1"/>
  <c r="C13" i="1"/>
  <c r="E13" i="1" s="1"/>
  <c r="G12" i="1"/>
  <c r="D13" i="1" l="1"/>
  <c r="F13" i="1"/>
  <c r="H13" i="1" s="1"/>
  <c r="B14" i="1" l="1"/>
  <c r="C14" i="1"/>
  <c r="E14" i="1"/>
  <c r="G13" i="1"/>
  <c r="D14" i="1" l="1"/>
  <c r="F14" i="1"/>
  <c r="H14" i="1" s="1"/>
  <c r="B15" i="1" l="1"/>
  <c r="C15" i="1"/>
  <c r="G14" i="1"/>
  <c r="E15" i="1"/>
  <c r="D15" i="1" l="1"/>
  <c r="F15" i="1"/>
  <c r="H15" i="1" s="1"/>
  <c r="B16" i="1" l="1"/>
  <c r="C16" i="1"/>
  <c r="E16" i="1" s="1"/>
  <c r="G15" i="1"/>
  <c r="F16" i="1" l="1"/>
  <c r="H16" i="1" s="1"/>
  <c r="D16" i="1"/>
  <c r="B17" i="1" l="1"/>
  <c r="C17" i="1"/>
  <c r="G16" i="1"/>
  <c r="E17" i="1"/>
  <c r="F17" i="1" l="1"/>
  <c r="H17" i="1" s="1"/>
  <c r="D17" i="1"/>
  <c r="B18" i="1" l="1"/>
  <c r="C18" i="1"/>
  <c r="G17" i="1"/>
  <c r="E18" i="1"/>
  <c r="D18" i="1" l="1"/>
  <c r="F18" i="1"/>
  <c r="H18" i="1" s="1"/>
  <c r="B19" i="1" l="1"/>
  <c r="C19" i="1"/>
  <c r="G18" i="1"/>
  <c r="E19" i="1"/>
  <c r="D19" i="1" l="1"/>
  <c r="F19" i="1"/>
  <c r="H19" i="1" s="1"/>
  <c r="B20" i="1" l="1"/>
  <c r="C20" i="1"/>
  <c r="E20" i="1" s="1"/>
  <c r="G19" i="1"/>
  <c r="F20" i="1" l="1"/>
  <c r="H20" i="1" s="1"/>
  <c r="D20" i="1"/>
  <c r="B21" i="1" l="1"/>
  <c r="C21" i="1"/>
  <c r="E21" i="1" s="1"/>
  <c r="G20" i="1"/>
  <c r="D21" i="1" l="1"/>
  <c r="F21" i="1"/>
  <c r="H21" i="1" s="1"/>
  <c r="B22" i="1" l="1"/>
  <c r="C22" i="1"/>
  <c r="E22" i="1" s="1"/>
  <c r="G21" i="1"/>
  <c r="F22" i="1" l="1"/>
  <c r="H22" i="1" s="1"/>
  <c r="D22" i="1"/>
  <c r="B23" i="1" l="1"/>
  <c r="C23" i="1"/>
  <c r="E23" i="1" s="1"/>
  <c r="G22" i="1"/>
  <c r="D23" i="1" l="1"/>
  <c r="F23" i="1"/>
  <c r="H23" i="1" s="1"/>
  <c r="B24" i="1" l="1"/>
  <c r="C24" i="1"/>
  <c r="E24" i="1"/>
  <c r="G23" i="1"/>
  <c r="F24" i="1" l="1"/>
  <c r="H24" i="1" s="1"/>
  <c r="D24" i="1"/>
  <c r="B25" i="1" l="1"/>
  <c r="C25" i="1"/>
  <c r="E25" i="1"/>
  <c r="G24" i="1"/>
  <c r="D25" i="1" l="1"/>
  <c r="F25" i="1"/>
  <c r="H25" i="1" s="1"/>
  <c r="B26" i="1" l="1"/>
  <c r="C26" i="1"/>
  <c r="G25" i="1"/>
  <c r="E26" i="1"/>
  <c r="D26" i="1" l="1"/>
  <c r="F26" i="1"/>
  <c r="H26" i="1" s="1"/>
  <c r="G26" i="1" s="1"/>
</calcChain>
</file>

<file path=xl/sharedStrings.xml><?xml version="1.0" encoding="utf-8"?>
<sst xmlns="http://schemas.openxmlformats.org/spreadsheetml/2006/main" count="18" uniqueCount="14">
  <si>
    <t>a</t>
  </si>
  <si>
    <t>b</t>
  </si>
  <si>
    <t>f(a)</t>
  </si>
  <si>
    <t>f(b)</t>
  </si>
  <si>
    <t>c= a+b/2</t>
  </si>
  <si>
    <t xml:space="preserve"> Ea(%)</t>
  </si>
  <si>
    <t>Iteraccion</t>
  </si>
  <si>
    <t>f(c)</t>
  </si>
  <si>
    <t xml:space="preserve">iteracion </t>
  </si>
  <si>
    <t>c=f(b)*(a-b)/f(a)-f(b)</t>
  </si>
  <si>
    <t>Errorcin</t>
  </si>
  <si>
    <t>x</t>
  </si>
  <si>
    <t>F(x)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</si>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</sst>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Fill="1" applyBorder="1"/>
    <xf numFmtId="0" fontId="0" fillId="3" borderId="1" xfId="0" applyFill="1" applyBorder="1"/>
    <xf numFmtId="0" fontId="0" fillId="0" borderId="1" xfId="0" applyBorder="1" applyAlignment="1">
      <alignment horizontal="center"/>
    </xf>
    <xf numFmtId="0" fontId="0" fillId="4" borderId="1" xfId="0" applyFill="1" applyBorder="1"/>
    <xf numFmtId="0" fontId="0" fillId="5" borderId="1" xfId="0" applyFill="1" applyBorder="1"/>
    <xf numFmtId="0" fontId="0" fillId="0" borderId="1" xfId="0" applyFill="1" applyBorder="1" applyAlignment="1">
      <alignment horizontal="center"/>
    </xf>
    <xf numFmtId="0" fontId="0" fillId="6" borderId="0" xfId="0" applyFill="1" applyBorder="1"/>
    <xf numFmtId="0" fontId="0" fillId="0" borderId="0" xfId="0" applyBorder="1"/>
    <xf numFmtId="0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3.6389944382725199E-2"/>
          <c:y val="0.14618782382118686"/>
          <c:w val="0.90328164218955698"/>
          <c:h val="0.78092326433278669"/>
        </c:manualLayout>
      </c:layout>
      <c:scatterChart>
        <c:scatterStyle val="lineMarker"/>
        <c:varyColors val="0"/>
        <c:ser>
          <c:idx val="0"/>
          <c:order val="0"/>
          <c:tx>
            <c:strRef>
              <c:f>grafica!$C$2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grafica!$B$3:$B$25</c:f>
              <c:numCache>
                <c:formatCode>General</c:formatCode>
                <c:ptCount val="23"/>
                <c:pt idx="0">
                  <c:v>-2</c:v>
                </c:pt>
                <c:pt idx="1">
                  <c:v>-1.9</c:v>
                </c:pt>
                <c:pt idx="2">
                  <c:v>-1.8</c:v>
                </c:pt>
                <c:pt idx="3">
                  <c:v>-1.7</c:v>
                </c:pt>
                <c:pt idx="4">
                  <c:v>-1.6</c:v>
                </c:pt>
                <c:pt idx="5">
                  <c:v>-1.5</c:v>
                </c:pt>
                <c:pt idx="6">
                  <c:v>-1.4</c:v>
                </c:pt>
                <c:pt idx="7">
                  <c:v>-1.3</c:v>
                </c:pt>
                <c:pt idx="8">
                  <c:v>-1.2</c:v>
                </c:pt>
                <c:pt idx="9">
                  <c:v>-1.1000000000000001</c:v>
                </c:pt>
                <c:pt idx="10">
                  <c:v>-0.9</c:v>
                </c:pt>
                <c:pt idx="11">
                  <c:v>0</c:v>
                </c:pt>
                <c:pt idx="12">
                  <c:v>0.9</c:v>
                </c:pt>
                <c:pt idx="13">
                  <c:v>1.1000000000000001</c:v>
                </c:pt>
                <c:pt idx="14">
                  <c:v>1.2</c:v>
                </c:pt>
                <c:pt idx="15">
                  <c:v>1.3</c:v>
                </c:pt>
                <c:pt idx="16">
                  <c:v>1.4</c:v>
                </c:pt>
                <c:pt idx="17">
                  <c:v>1.5</c:v>
                </c:pt>
                <c:pt idx="18">
                  <c:v>1.6</c:v>
                </c:pt>
                <c:pt idx="19">
                  <c:v>1.7</c:v>
                </c:pt>
                <c:pt idx="20">
                  <c:v>1.8</c:v>
                </c:pt>
                <c:pt idx="21">
                  <c:v>1.9</c:v>
                </c:pt>
                <c:pt idx="22">
                  <c:v>2</c:v>
                </c:pt>
              </c:numCache>
            </c:numRef>
          </c:xVal>
          <c:yVal>
            <c:numRef>
              <c:f>grafica!$C$3:$C$25</c:f>
              <c:numCache>
                <c:formatCode>General</c:formatCode>
                <c:ptCount val="23"/>
                <c:pt idx="0">
                  <c:v>-4.8322936730942851</c:v>
                </c:pt>
                <c:pt idx="1">
                  <c:v>-4.2565791337270067</c:v>
                </c:pt>
                <c:pt idx="2">
                  <c:v>-3.6944041893861743</c:v>
                </c:pt>
                <c:pt idx="3">
                  <c:v>-3.1476889885910491</c:v>
                </c:pt>
                <c:pt idx="4">
                  <c:v>-2.6183990446025782</c:v>
                </c:pt>
                <c:pt idx="5">
                  <c:v>-2.1085255966645944</c:v>
                </c:pt>
                <c:pt idx="6">
                  <c:v>-1.6200657141995176</c:v>
                </c:pt>
                <c:pt idx="7">
                  <c:v>-1.1550023427508256</c:v>
                </c:pt>
                <c:pt idx="8">
                  <c:v>-0.7152844910466527</c:v>
                </c:pt>
                <c:pt idx="9">
                  <c:v>-0.30280775714884556</c:v>
                </c:pt>
                <c:pt idx="10">
                  <c:v>0.43321993654132873</c:v>
                </c:pt>
                <c:pt idx="11">
                  <c:v>2</c:v>
                </c:pt>
                <c:pt idx="12">
                  <c:v>0.43321993654132873</c:v>
                </c:pt>
                <c:pt idx="13">
                  <c:v>-0.30280775714884556</c:v>
                </c:pt>
                <c:pt idx="14">
                  <c:v>-0.7152844910466527</c:v>
                </c:pt>
                <c:pt idx="15">
                  <c:v>-1.1550023427508256</c:v>
                </c:pt>
                <c:pt idx="16">
                  <c:v>-1.6200657141995176</c:v>
                </c:pt>
                <c:pt idx="17">
                  <c:v>-2.1085255966645944</c:v>
                </c:pt>
                <c:pt idx="18">
                  <c:v>-2.6183990446025782</c:v>
                </c:pt>
                <c:pt idx="19">
                  <c:v>-3.1476889885910491</c:v>
                </c:pt>
                <c:pt idx="20">
                  <c:v>-3.6944041893861743</c:v>
                </c:pt>
                <c:pt idx="21">
                  <c:v>-4.2565791337270067</c:v>
                </c:pt>
                <c:pt idx="22">
                  <c:v>-4.8322936730942851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AF-4384-85AE-69DC89896A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5192687"/>
        <c:axId val="2073252639"/>
      </c:scatterChart>
      <c:valAx>
        <c:axId val="1875192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73252639"/>
        <c:crosses val="autoZero"/>
        <c:crossBetween val="midCat"/>
      </c:valAx>
      <c:valAx>
        <c:axId val="2073252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75192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615672</xdr:colOff>
      <xdr:row>7</xdr:row>
      <xdr:rowOff>113339</xdr:rowOff>
    </xdr:from>
    <xdr:to>
      <xdr:col>11</xdr:col>
      <xdr:colOff>432296</xdr:colOff>
      <xdr:row>22</xdr:row>
      <xdr:rowOff>113339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61C1FC7-342E-7F2B-49F9-3F62DD003F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A0E39-1D05-43F3-8067-2EAE83748C8E}">
  <dimension ref="A1:L26"/>
  <sheetViews>
    <sheetView zoomScale="159" workbookViewId="0">
      <selection activeCell="B7" sqref="B7:H7"/>
    </sheetView>
  </sheetViews>
  <sheetFormatPr baseColWidth="10" defaultRowHeight="14.4" x14ac:dyDescent="0.3"/>
  <sheetData>
    <row r="1" spans="1:12" x14ac:dyDescent="0.3">
      <c r="A1" s="2" t="s">
        <v>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4" t="s">
        <v>5</v>
      </c>
      <c r="H1" s="2" t="s">
        <v>7</v>
      </c>
    </row>
    <row r="2" spans="1:12" x14ac:dyDescent="0.3">
      <c r="A2" s="5">
        <v>1</v>
      </c>
      <c r="B2" s="1">
        <v>2</v>
      </c>
      <c r="C2" s="1">
        <v>-2</v>
      </c>
      <c r="D2" s="1">
        <f>2*(COS(B2))-((B2)^2)</f>
        <v>-4.8322936730942851</v>
      </c>
      <c r="E2" s="1">
        <f>2*(COS(C2))-((C2)^2)</f>
        <v>-4.8322936730942851</v>
      </c>
      <c r="F2" s="1">
        <f>B2+C2/2</f>
        <v>1</v>
      </c>
      <c r="G2" s="1"/>
      <c r="H2" s="3">
        <f>2*(COS(F2))-((F2)^2)</f>
        <v>8.060461173627953E-2</v>
      </c>
    </row>
    <row r="3" spans="1:12" x14ac:dyDescent="0.3">
      <c r="A3" s="5">
        <v>2</v>
      </c>
      <c r="B3" s="1">
        <f>IF(H2&lt;0,D2,F2)</f>
        <v>1</v>
      </c>
      <c r="C3" s="1">
        <f>IF(H2&gt;0,E2,F2)</f>
        <v>-4.8322936730942851</v>
      </c>
      <c r="D3" s="1">
        <f>2*(COS(B3))-((B3)^2)</f>
        <v>8.060461173627953E-2</v>
      </c>
      <c r="E3" s="1">
        <f>2*(COS(C3))-((C3)^2)</f>
        <v>-23.111826973338282</v>
      </c>
      <c r="F3" s="1">
        <f>B3+C3/2</f>
        <v>-1.4161468365471426</v>
      </c>
      <c r="G3" s="1">
        <f>ABS(H3-H2/H3)</f>
        <v>1.64991731381069</v>
      </c>
      <c r="H3" s="3">
        <f>2*(COS(F3))-((F3)^2)</f>
        <v>-1.6974042983864348</v>
      </c>
      <c r="K3" s="9"/>
      <c r="L3" s="9"/>
    </row>
    <row r="4" spans="1:12" x14ac:dyDescent="0.3">
      <c r="A4" s="5">
        <v>3</v>
      </c>
      <c r="B4" s="1">
        <f t="shared" ref="B4:B8" si="0">IF(H3&lt;0,D3,F3)</f>
        <v>8.060461173627953E-2</v>
      </c>
      <c r="C4" s="1">
        <f t="shared" ref="C4:C8" si="1">IF(H3&gt;0,E3,F3)</f>
        <v>-1.4161468365471426</v>
      </c>
      <c r="D4" s="1">
        <f t="shared" ref="D4:D8" si="2">2*(COS(B4))-((B4)^2)</f>
        <v>1.9870093100680328</v>
      </c>
      <c r="E4" s="1">
        <f t="shared" ref="E4:E8" si="3">2*(COS(C4))-((C4)^2)</f>
        <v>-1.6974042983864348</v>
      </c>
      <c r="F4" s="1">
        <f t="shared" ref="F4:F8" si="4">B4+C4/2</f>
        <v>-0.62746880653729176</v>
      </c>
      <c r="G4" s="1">
        <f t="shared" ref="G4:G26" si="5">ABS(H4-H3/H4)</f>
        <v>2.6105949194279043</v>
      </c>
      <c r="H4" s="3">
        <f t="shared" ref="H4:H8" si="6">2*(COS(F4))-((F4)^2)</f>
        <v>1.2253152120007162</v>
      </c>
      <c r="K4" s="9"/>
      <c r="L4" s="9"/>
    </row>
    <row r="5" spans="1:12" x14ac:dyDescent="0.3">
      <c r="A5" s="5">
        <v>4</v>
      </c>
      <c r="B5" s="1">
        <f t="shared" si="0"/>
        <v>-0.62746880653729176</v>
      </c>
      <c r="C5" s="1">
        <f t="shared" si="1"/>
        <v>-1.6974042983864348</v>
      </c>
      <c r="D5" s="1">
        <f t="shared" si="2"/>
        <v>1.2253152120007162</v>
      </c>
      <c r="E5" s="1">
        <f t="shared" si="3"/>
        <v>-3.1337213465448515</v>
      </c>
      <c r="F5" s="1">
        <f t="shared" si="4"/>
        <v>-1.4761709557305092</v>
      </c>
      <c r="G5" s="1">
        <f t="shared" si="5"/>
        <v>1.3744106871664683</v>
      </c>
      <c r="H5" s="3">
        <f t="shared" si="6"/>
        <v>-1.9901122459557969</v>
      </c>
      <c r="K5" s="9"/>
      <c r="L5" s="9"/>
    </row>
    <row r="6" spans="1:12" x14ac:dyDescent="0.3">
      <c r="A6" s="5">
        <v>5</v>
      </c>
      <c r="B6" s="1">
        <f t="shared" si="0"/>
        <v>1.2253152120007162</v>
      </c>
      <c r="C6" s="1">
        <f t="shared" si="1"/>
        <v>-1.4761709557305092</v>
      </c>
      <c r="D6" s="1">
        <f t="shared" si="2"/>
        <v>-0.82409856193720576</v>
      </c>
      <c r="E6" s="1">
        <f t="shared" si="3"/>
        <v>-1.9901122459557969</v>
      </c>
      <c r="F6" s="1">
        <f t="shared" si="4"/>
        <v>0.48722973413546167</v>
      </c>
      <c r="G6" s="1">
        <f t="shared" si="5"/>
        <v>2.8307080327127556</v>
      </c>
      <c r="H6" s="3">
        <f t="shared" si="6"/>
        <v>1.5298736463781901</v>
      </c>
      <c r="K6" s="9"/>
      <c r="L6" s="9"/>
    </row>
    <row r="7" spans="1:12" x14ac:dyDescent="0.3">
      <c r="A7" s="5">
        <v>6</v>
      </c>
      <c r="B7" s="6">
        <f t="shared" si="0"/>
        <v>0.48722973413546167</v>
      </c>
      <c r="C7" s="6">
        <f t="shared" si="1"/>
        <v>-1.9901122459557969</v>
      </c>
      <c r="D7" s="6">
        <f t="shared" si="2"/>
        <v>1.5298736463781901</v>
      </c>
      <c r="E7" s="6">
        <f t="shared" si="3"/>
        <v>-4.7748182136046156</v>
      </c>
      <c r="F7" s="6">
        <f t="shared" si="4"/>
        <v>-0.5078263888424368</v>
      </c>
      <c r="G7" s="6">
        <f t="shared" si="5"/>
        <v>0.46276527353626662</v>
      </c>
      <c r="H7" s="6">
        <f t="shared" si="6"/>
        <v>1.4897194640826501</v>
      </c>
      <c r="K7" s="9"/>
      <c r="L7" s="9"/>
    </row>
    <row r="8" spans="1:12" x14ac:dyDescent="0.3">
      <c r="A8" s="5">
        <v>7</v>
      </c>
      <c r="B8" s="1">
        <f t="shared" si="0"/>
        <v>-0.5078263888424368</v>
      </c>
      <c r="C8" s="1">
        <f t="shared" si="1"/>
        <v>-4.7748182136046156</v>
      </c>
      <c r="D8" s="1">
        <f t="shared" si="2"/>
        <v>1.4897194640826501</v>
      </c>
      <c r="E8" s="1">
        <f t="shared" si="3"/>
        <v>-22.67411159481567</v>
      </c>
      <c r="F8" s="1">
        <f t="shared" si="4"/>
        <v>-2.8952354956447444</v>
      </c>
      <c r="G8" s="1">
        <f t="shared" si="5"/>
        <v>10.177678415523081</v>
      </c>
      <c r="H8" s="3">
        <f t="shared" si="6"/>
        <v>-10.32200306402801</v>
      </c>
      <c r="K8" s="9"/>
      <c r="L8" s="9"/>
    </row>
    <row r="9" spans="1:12" x14ac:dyDescent="0.3">
      <c r="A9" s="8">
        <v>8</v>
      </c>
      <c r="B9" s="3">
        <f t="shared" ref="B9:B26" si="7">IF(H8&lt;0,D8,F8)</f>
        <v>1.4897194640826501</v>
      </c>
      <c r="C9" s="3">
        <f t="shared" ref="C9:C26" si="8">IF(H8&gt;0,E8,F8)</f>
        <v>-2.8952354956447444</v>
      </c>
      <c r="D9" s="3">
        <f t="shared" ref="D9:D26" si="9">2*(COS(B9))-((B9)^2)</f>
        <v>-2.057287949636966</v>
      </c>
      <c r="E9" s="3">
        <f t="shared" ref="E9:E26" si="10">2*(COS(C9))-((C9)^2)</f>
        <v>-10.32200306402801</v>
      </c>
      <c r="F9" s="3">
        <f t="shared" ref="F9:F26" si="11">B9+C9/2</f>
        <v>4.2101716260277922E-2</v>
      </c>
      <c r="G9" s="3">
        <f t="shared" si="5"/>
        <v>7.1666204077443778</v>
      </c>
      <c r="H9" s="3">
        <f t="shared" ref="H9:H26" si="12">2*(COS(F9))-((F9)^2)</f>
        <v>1.9964551527895331</v>
      </c>
      <c r="K9" s="9"/>
      <c r="L9" s="9"/>
    </row>
    <row r="10" spans="1:12" x14ac:dyDescent="0.3">
      <c r="A10" s="5">
        <v>9</v>
      </c>
      <c r="B10" s="1">
        <f t="shared" si="7"/>
        <v>4.2101716260277922E-2</v>
      </c>
      <c r="C10" s="1">
        <f t="shared" si="8"/>
        <v>-10.32200306402801</v>
      </c>
      <c r="D10" s="1">
        <f t="shared" si="9"/>
        <v>1.9964551527895331</v>
      </c>
      <c r="E10" s="1">
        <f t="shared" si="10"/>
        <v>-107.79130970091782</v>
      </c>
      <c r="F10" s="1">
        <f t="shared" si="11"/>
        <v>-5.1188998157537267</v>
      </c>
      <c r="G10" s="1">
        <f t="shared" si="5"/>
        <v>25.33375899252167</v>
      </c>
      <c r="H10" s="3">
        <f t="shared" si="12"/>
        <v>-25.412321478616043</v>
      </c>
      <c r="K10" s="9"/>
      <c r="L10" s="9"/>
    </row>
    <row r="11" spans="1:12" x14ac:dyDescent="0.3">
      <c r="A11" s="5">
        <v>10</v>
      </c>
      <c r="B11" s="1">
        <f t="shared" si="7"/>
        <v>1.9964551527895331</v>
      </c>
      <c r="C11" s="1">
        <f t="shared" si="8"/>
        <v>-5.1188998157537267</v>
      </c>
      <c r="D11" s="1">
        <f t="shared" si="9"/>
        <v>-4.8116749935301417</v>
      </c>
      <c r="E11" s="1">
        <f t="shared" si="10"/>
        <v>-25.412321478616043</v>
      </c>
      <c r="F11" s="1">
        <f t="shared" si="11"/>
        <v>-0.56299475508733021</v>
      </c>
      <c r="G11" s="1">
        <f t="shared" si="5"/>
        <v>19.864679787602554</v>
      </c>
      <c r="H11" s="3">
        <f t="shared" si="12"/>
        <v>1.3743579887385935</v>
      </c>
      <c r="K11" s="9"/>
      <c r="L11" s="9"/>
    </row>
    <row r="12" spans="1:12" x14ac:dyDescent="0.3">
      <c r="A12" s="5">
        <v>11</v>
      </c>
      <c r="B12" s="1">
        <f t="shared" si="7"/>
        <v>-0.56299475508733021</v>
      </c>
      <c r="C12" s="1">
        <f t="shared" si="8"/>
        <v>-25.412321478616043</v>
      </c>
      <c r="D12" s="1">
        <f t="shared" si="9"/>
        <v>1.3743579887385935</v>
      </c>
      <c r="E12" s="1">
        <f t="shared" si="10"/>
        <v>-643.86374022462053</v>
      </c>
      <c r="F12" s="1">
        <f t="shared" si="11"/>
        <v>-13.269155494395353</v>
      </c>
      <c r="G12" s="1">
        <f t="shared" si="5"/>
        <v>174.53652325128664</v>
      </c>
      <c r="H12" s="3">
        <f t="shared" si="12"/>
        <v>-174.5443972249609</v>
      </c>
      <c r="K12" s="9"/>
      <c r="L12" s="9"/>
    </row>
    <row r="13" spans="1:12" x14ac:dyDescent="0.3">
      <c r="A13" s="5">
        <v>12</v>
      </c>
      <c r="B13" s="1">
        <f t="shared" si="7"/>
        <v>1.3743579887385935</v>
      </c>
      <c r="C13" s="1">
        <f t="shared" si="8"/>
        <v>-13.269155494395353</v>
      </c>
      <c r="D13" s="1">
        <f t="shared" si="9"/>
        <v>-1.4985050567288229</v>
      </c>
      <c r="E13" s="1">
        <f t="shared" si="10"/>
        <v>-174.5443972249609</v>
      </c>
      <c r="F13" s="1">
        <f t="shared" si="11"/>
        <v>-5.2602197584590833</v>
      </c>
      <c r="G13" s="1">
        <f t="shared" si="5"/>
        <v>33.183099346080915</v>
      </c>
      <c r="H13" s="3">
        <f t="shared" si="12"/>
        <v>-26.6282385358083</v>
      </c>
      <c r="K13" s="9"/>
      <c r="L13" s="9"/>
    </row>
    <row r="14" spans="1:12" x14ac:dyDescent="0.3">
      <c r="A14" s="5">
        <v>13</v>
      </c>
      <c r="B14" s="1">
        <f t="shared" si="7"/>
        <v>-1.4985050567288229</v>
      </c>
      <c r="C14" s="1">
        <f t="shared" si="8"/>
        <v>-5.2602197584590833</v>
      </c>
      <c r="D14" s="1">
        <f t="shared" si="9"/>
        <v>-2.1010607640681913</v>
      </c>
      <c r="E14" s="1">
        <f t="shared" si="10"/>
        <v>-26.6282385358083</v>
      </c>
      <c r="F14" s="1">
        <f t="shared" si="11"/>
        <v>-4.1286149359583648</v>
      </c>
      <c r="G14" s="1">
        <f t="shared" si="5"/>
        <v>19.615112255781252</v>
      </c>
      <c r="H14" s="3">
        <f t="shared" si="12"/>
        <v>-18.147815036696556</v>
      </c>
      <c r="K14" s="9"/>
      <c r="L14" s="9"/>
    </row>
    <row r="15" spans="1:12" x14ac:dyDescent="0.3">
      <c r="A15" s="5">
        <v>14</v>
      </c>
      <c r="B15" s="1">
        <f t="shared" si="7"/>
        <v>-2.1010607640681913</v>
      </c>
      <c r="C15" s="1">
        <f t="shared" si="8"/>
        <v>-4.1286149359583648</v>
      </c>
      <c r="D15" s="1">
        <f t="shared" si="9"/>
        <v>-5.4259792980589348</v>
      </c>
      <c r="E15" s="1">
        <f>2*(COS(C15))-((C15)^2)</f>
        <v>-18.147815036696556</v>
      </c>
      <c r="F15" s="1">
        <f t="shared" si="11"/>
        <v>-4.1653682320473742</v>
      </c>
      <c r="G15" s="1">
        <f t="shared" si="5"/>
        <v>19.377381920698031</v>
      </c>
      <c r="H15" s="3">
        <f t="shared" si="12"/>
        <v>-18.39058256438846</v>
      </c>
      <c r="K15" s="9"/>
      <c r="L15" s="9"/>
    </row>
    <row r="16" spans="1:12" x14ac:dyDescent="0.3">
      <c r="A16" s="5">
        <v>15</v>
      </c>
      <c r="B16" s="1">
        <f t="shared" si="7"/>
        <v>-5.4259792980589348</v>
      </c>
      <c r="C16" s="1">
        <f t="shared" si="8"/>
        <v>-4.1653682320473742</v>
      </c>
      <c r="D16" s="1">
        <f t="shared" si="9"/>
        <v>-28.132146694903135</v>
      </c>
      <c r="E16" s="1">
        <f t="shared" si="10"/>
        <v>-18.39058256438846</v>
      </c>
      <c r="F16" s="1">
        <f t="shared" si="11"/>
        <v>-7.5086634140826218</v>
      </c>
      <c r="G16" s="1">
        <f t="shared" si="5"/>
        <v>56.033188063082356</v>
      </c>
      <c r="H16" s="3">
        <f t="shared" si="12"/>
        <v>-55.703034007887005</v>
      </c>
      <c r="K16" s="9"/>
      <c r="L16" s="9"/>
    </row>
    <row r="17" spans="1:12" x14ac:dyDescent="0.3">
      <c r="A17" s="5">
        <v>16</v>
      </c>
      <c r="B17" s="1">
        <f t="shared" si="7"/>
        <v>-28.132146694903135</v>
      </c>
      <c r="C17" s="1">
        <f t="shared" si="8"/>
        <v>-7.5086634140826218</v>
      </c>
      <c r="D17" s="1">
        <f t="shared" si="9"/>
        <v>-793.3974945055935</v>
      </c>
      <c r="E17" s="1">
        <f t="shared" si="10"/>
        <v>-55.703034007887005</v>
      </c>
      <c r="F17" s="1">
        <f t="shared" si="11"/>
        <v>-31.886478401944444</v>
      </c>
      <c r="G17" s="1">
        <f t="shared" si="5"/>
        <v>1015.0197501739619</v>
      </c>
      <c r="H17" s="3">
        <f t="shared" si="12"/>
        <v>-1014.9648684379137</v>
      </c>
      <c r="K17" s="9"/>
      <c r="L17" s="9"/>
    </row>
    <row r="18" spans="1:12" x14ac:dyDescent="0.3">
      <c r="A18" s="5">
        <v>17</v>
      </c>
      <c r="B18" s="1">
        <f t="shared" si="7"/>
        <v>-793.3974945055935</v>
      </c>
      <c r="C18" s="1">
        <f t="shared" si="8"/>
        <v>-31.886478401944444</v>
      </c>
      <c r="D18" s="1">
        <f t="shared" si="9"/>
        <v>-629479.87396420853</v>
      </c>
      <c r="E18" s="1">
        <f t="shared" si="10"/>
        <v>-1014.9648684379137</v>
      </c>
      <c r="F18" s="1">
        <f t="shared" si="11"/>
        <v>-809.34073370656574</v>
      </c>
      <c r="G18" s="1">
        <f t="shared" si="5"/>
        <v>655031.68178379128</v>
      </c>
      <c r="H18" s="3">
        <f t="shared" si="12"/>
        <v>-655031.68023430149</v>
      </c>
      <c r="K18" s="9"/>
      <c r="L18" s="9"/>
    </row>
    <row r="19" spans="1:12" x14ac:dyDescent="0.3">
      <c r="A19" s="5">
        <v>18</v>
      </c>
      <c r="B19" s="1">
        <f t="shared" si="7"/>
        <v>-629479.87396420853</v>
      </c>
      <c r="C19" s="1">
        <f t="shared" si="8"/>
        <v>-809.34073370656574</v>
      </c>
      <c r="D19" s="1">
        <f t="shared" si="9"/>
        <v>-396244911724.99384</v>
      </c>
      <c r="E19" s="1">
        <f t="shared" si="10"/>
        <v>-655031.68023430149</v>
      </c>
      <c r="F19" s="1">
        <f t="shared" si="11"/>
        <v>-629884.54433106177</v>
      </c>
      <c r="G19" s="1">
        <f t="shared" si="5"/>
        <v>396754539187.00873</v>
      </c>
      <c r="H19" s="3">
        <f t="shared" si="12"/>
        <v>-396754539187.00873</v>
      </c>
      <c r="K19" s="9"/>
      <c r="L19" s="9"/>
    </row>
    <row r="20" spans="1:12" x14ac:dyDescent="0.3">
      <c r="A20" s="5">
        <v>19</v>
      </c>
      <c r="B20" s="1">
        <f t="shared" si="7"/>
        <v>-396244911724.99384</v>
      </c>
      <c r="C20" s="1">
        <f t="shared" si="8"/>
        <v>-629884.54433106177</v>
      </c>
      <c r="D20" s="1" t="e">
        <f t="shared" si="9"/>
        <v>#NUM!</v>
      </c>
      <c r="E20" s="1">
        <f>2*(COS(C20))-((C20)^2)</f>
        <v>-396754539187.00873</v>
      </c>
      <c r="F20" s="1">
        <f>B20+C20/2</f>
        <v>-396245226667.26599</v>
      </c>
      <c r="G20" s="1" t="e">
        <f>ABS(H20-H19/H20)</f>
        <v>#NUM!</v>
      </c>
      <c r="H20" s="3" t="e">
        <f t="shared" si="12"/>
        <v>#NUM!</v>
      </c>
      <c r="K20" s="10"/>
      <c r="L20" s="10"/>
    </row>
    <row r="21" spans="1:12" x14ac:dyDescent="0.3">
      <c r="A21" s="5">
        <v>20</v>
      </c>
      <c r="B21" s="1" t="e">
        <f t="shared" si="7"/>
        <v>#NUM!</v>
      </c>
      <c r="C21" s="1" t="e">
        <f t="shared" si="8"/>
        <v>#NUM!</v>
      </c>
      <c r="D21" s="1" t="e">
        <f t="shared" si="9"/>
        <v>#NUM!</v>
      </c>
      <c r="E21" s="1" t="e">
        <f t="shared" si="10"/>
        <v>#NUM!</v>
      </c>
      <c r="F21" s="1" t="e">
        <f t="shared" si="11"/>
        <v>#NUM!</v>
      </c>
      <c r="G21" s="1" t="e">
        <f t="shared" si="5"/>
        <v>#NUM!</v>
      </c>
      <c r="H21" s="3" t="e">
        <f t="shared" si="12"/>
        <v>#NUM!</v>
      </c>
      <c r="K21" s="10"/>
      <c r="L21" s="10"/>
    </row>
    <row r="22" spans="1:12" x14ac:dyDescent="0.3">
      <c r="A22" s="5">
        <v>21</v>
      </c>
      <c r="B22" s="1" t="e">
        <f t="shared" si="7"/>
        <v>#NUM!</v>
      </c>
      <c r="C22" s="1" t="e">
        <f t="shared" si="8"/>
        <v>#NUM!</v>
      </c>
      <c r="D22" s="1" t="e">
        <f t="shared" si="9"/>
        <v>#NUM!</v>
      </c>
      <c r="E22" s="1" t="e">
        <f t="shared" si="10"/>
        <v>#NUM!</v>
      </c>
      <c r="F22" s="1" t="e">
        <f t="shared" si="11"/>
        <v>#NUM!</v>
      </c>
      <c r="G22" s="1" t="e">
        <f t="shared" si="5"/>
        <v>#NUM!</v>
      </c>
      <c r="H22" s="3" t="e">
        <f t="shared" si="12"/>
        <v>#NUM!</v>
      </c>
    </row>
    <row r="23" spans="1:12" x14ac:dyDescent="0.3">
      <c r="A23" s="5">
        <v>22</v>
      </c>
      <c r="B23" s="1" t="e">
        <f t="shared" si="7"/>
        <v>#NUM!</v>
      </c>
      <c r="C23" s="1" t="e">
        <f t="shared" si="8"/>
        <v>#NUM!</v>
      </c>
      <c r="D23" s="1" t="e">
        <f t="shared" si="9"/>
        <v>#NUM!</v>
      </c>
      <c r="E23" s="1" t="e">
        <f t="shared" si="10"/>
        <v>#NUM!</v>
      </c>
      <c r="F23" s="1" t="e">
        <f t="shared" si="11"/>
        <v>#NUM!</v>
      </c>
      <c r="G23" s="1" t="e">
        <f t="shared" si="5"/>
        <v>#NUM!</v>
      </c>
      <c r="H23" s="3" t="e">
        <f t="shared" si="12"/>
        <v>#NUM!</v>
      </c>
    </row>
    <row r="24" spans="1:12" x14ac:dyDescent="0.3">
      <c r="A24" s="5">
        <v>23</v>
      </c>
      <c r="B24" s="1" t="e">
        <f t="shared" si="7"/>
        <v>#NUM!</v>
      </c>
      <c r="C24" s="1" t="e">
        <f t="shared" si="8"/>
        <v>#NUM!</v>
      </c>
      <c r="D24" s="1" t="e">
        <f t="shared" si="9"/>
        <v>#NUM!</v>
      </c>
      <c r="E24" s="1" t="e">
        <f t="shared" si="10"/>
        <v>#NUM!</v>
      </c>
      <c r="F24" s="1" t="e">
        <f t="shared" si="11"/>
        <v>#NUM!</v>
      </c>
      <c r="G24" s="1" t="e">
        <f t="shared" si="5"/>
        <v>#NUM!</v>
      </c>
      <c r="H24" s="3" t="e">
        <f t="shared" si="12"/>
        <v>#NUM!</v>
      </c>
    </row>
    <row r="25" spans="1:12" x14ac:dyDescent="0.3">
      <c r="A25" s="5">
        <v>24</v>
      </c>
      <c r="B25" s="1" t="e">
        <f t="shared" si="7"/>
        <v>#NUM!</v>
      </c>
      <c r="C25" s="1" t="e">
        <f t="shared" si="8"/>
        <v>#NUM!</v>
      </c>
      <c r="D25" s="1" t="e">
        <f t="shared" si="9"/>
        <v>#NUM!</v>
      </c>
      <c r="E25" s="1" t="e">
        <f t="shared" si="10"/>
        <v>#NUM!</v>
      </c>
      <c r="F25" s="1" t="e">
        <f t="shared" si="11"/>
        <v>#NUM!</v>
      </c>
      <c r="G25" s="1" t="e">
        <f t="shared" si="5"/>
        <v>#NUM!</v>
      </c>
      <c r="H25" s="3" t="e">
        <f t="shared" si="12"/>
        <v>#NUM!</v>
      </c>
    </row>
    <row r="26" spans="1:12" x14ac:dyDescent="0.3">
      <c r="A26" s="5">
        <v>25</v>
      </c>
      <c r="B26" s="1" t="e">
        <f t="shared" si="7"/>
        <v>#NUM!</v>
      </c>
      <c r="C26" s="1" t="e">
        <f t="shared" si="8"/>
        <v>#NUM!</v>
      </c>
      <c r="D26" s="1" t="e">
        <f t="shared" si="9"/>
        <v>#NUM!</v>
      </c>
      <c r="E26" s="1" t="e">
        <f t="shared" si="10"/>
        <v>#NUM!</v>
      </c>
      <c r="F26" s="1" t="e">
        <f t="shared" si="11"/>
        <v>#NUM!</v>
      </c>
      <c r="G26" s="1" t="e">
        <f t="shared" si="5"/>
        <v>#NUM!</v>
      </c>
      <c r="H26" s="3" t="e">
        <f t="shared" si="12"/>
        <v>#NUM!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42A0C-ADAA-4473-9708-18D6363B9985}">
  <dimension ref="A2:G15"/>
  <sheetViews>
    <sheetView zoomScale="136" workbookViewId="0">
      <selection activeCell="C3" sqref="C3"/>
    </sheetView>
  </sheetViews>
  <sheetFormatPr baseColWidth="10" defaultRowHeight="14.4" x14ac:dyDescent="0.3"/>
  <sheetData>
    <row r="2" spans="1:7" x14ac:dyDescent="0.3">
      <c r="A2" s="7" t="s">
        <v>8</v>
      </c>
      <c r="B2" s="7" t="s">
        <v>0</v>
      </c>
      <c r="C2" s="7" t="s">
        <v>1</v>
      </c>
      <c r="D2" s="7" t="s">
        <v>2</v>
      </c>
      <c r="E2" s="7" t="s">
        <v>3</v>
      </c>
      <c r="F2" s="7" t="s">
        <v>9</v>
      </c>
      <c r="G2" s="7" t="s">
        <v>10</v>
      </c>
    </row>
    <row r="3" spans="1:7" x14ac:dyDescent="0.3">
      <c r="A3" s="1">
        <v>1</v>
      </c>
      <c r="B3" s="1">
        <v>-2</v>
      </c>
      <c r="C3" s="1">
        <v>-1</v>
      </c>
      <c r="D3" s="1">
        <f>2*COS(B3)-(B3)^2</f>
        <v>-4.8322936730942851</v>
      </c>
      <c r="E3" s="1">
        <f>2*(COS(C3))-(C3)^2</f>
        <v>8.060461173627953E-2</v>
      </c>
      <c r="F3" s="1">
        <f>B3-((D3*(B3-C3))/(E3-D3))</f>
        <v>-2.9835932667311349</v>
      </c>
      <c r="G3" s="1">
        <f>ABS(F4-F3)/F4</f>
        <v>-2.0277730420780222</v>
      </c>
    </row>
    <row r="4" spans="1:7" x14ac:dyDescent="0.3">
      <c r="A4" s="1">
        <v>2</v>
      </c>
      <c r="B4" s="6">
        <v>-1</v>
      </c>
      <c r="C4" s="6">
        <f>F3</f>
        <v>-2.9835932667311349</v>
      </c>
      <c r="D4" s="6">
        <f>2*COS(B4)-(B4)^2</f>
        <v>8.060461173627953E-2</v>
      </c>
      <c r="E4" s="6">
        <f>2*(COS(C4))-(C4)^2</f>
        <v>-10.876916864475568</v>
      </c>
      <c r="F4" s="6">
        <f>B4-((D4*(B4-C4))/(E4-D4))</f>
        <v>-0.98540849174198142</v>
      </c>
      <c r="G4" s="6" t="e">
        <f>ABS(F5-F4)/F5</f>
        <v>#DIV/0!</v>
      </c>
    </row>
    <row r="5" spans="1:7" x14ac:dyDescent="0.3">
      <c r="A5" s="1">
        <v>3</v>
      </c>
      <c r="B5" s="1"/>
      <c r="C5" s="1"/>
      <c r="D5" s="1"/>
      <c r="E5" s="1"/>
      <c r="F5" s="1"/>
      <c r="G5" s="1"/>
    </row>
    <row r="6" spans="1:7" x14ac:dyDescent="0.3">
      <c r="A6" s="1">
        <v>4</v>
      </c>
      <c r="B6" s="1"/>
      <c r="C6" s="1"/>
      <c r="D6" s="1"/>
      <c r="E6" s="1"/>
      <c r="F6" s="1"/>
      <c r="G6" s="1"/>
    </row>
    <row r="7" spans="1:7" x14ac:dyDescent="0.3">
      <c r="A7" s="1">
        <v>5</v>
      </c>
      <c r="B7" s="1"/>
      <c r="C7" s="1"/>
      <c r="D7" s="1"/>
      <c r="E7" s="1"/>
      <c r="F7" s="1"/>
      <c r="G7" s="1"/>
    </row>
    <row r="8" spans="1:7" x14ac:dyDescent="0.3">
      <c r="A8" s="1">
        <v>6</v>
      </c>
      <c r="B8" s="1"/>
      <c r="C8" s="1"/>
      <c r="D8" s="1"/>
      <c r="E8" s="1"/>
      <c r="F8" s="1"/>
      <c r="G8" s="1"/>
    </row>
    <row r="9" spans="1:7" x14ac:dyDescent="0.3">
      <c r="A9" s="1">
        <v>7</v>
      </c>
      <c r="B9" s="1"/>
      <c r="C9" s="1"/>
      <c r="D9" s="1"/>
      <c r="E9" s="1"/>
      <c r="F9" s="1"/>
      <c r="G9" s="1"/>
    </row>
    <row r="10" spans="1:7" x14ac:dyDescent="0.3">
      <c r="A10" s="1">
        <v>8</v>
      </c>
      <c r="B10" s="1"/>
      <c r="C10" s="1"/>
      <c r="D10" s="1"/>
      <c r="E10" s="1"/>
      <c r="F10" s="1"/>
      <c r="G10" s="1"/>
    </row>
    <row r="11" spans="1:7" x14ac:dyDescent="0.3">
      <c r="A11" s="1">
        <v>9</v>
      </c>
      <c r="B11" s="1"/>
      <c r="C11" s="1"/>
      <c r="D11" s="1"/>
      <c r="E11" s="1"/>
      <c r="F11" s="1"/>
      <c r="G11" s="1"/>
    </row>
    <row r="12" spans="1:7" x14ac:dyDescent="0.3">
      <c r="A12" s="1">
        <v>10</v>
      </c>
      <c r="B12" s="1"/>
      <c r="C12" s="1"/>
      <c r="D12" s="1"/>
      <c r="E12" s="1"/>
      <c r="F12" s="1"/>
      <c r="G12" s="1"/>
    </row>
    <row r="13" spans="1:7" x14ac:dyDescent="0.3">
      <c r="A13" s="1">
        <v>11</v>
      </c>
      <c r="B13" s="1"/>
      <c r="C13" s="1"/>
      <c r="D13" s="1"/>
      <c r="E13" s="1"/>
      <c r="F13" s="1"/>
      <c r="G13" s="1"/>
    </row>
    <row r="14" spans="1:7" x14ac:dyDescent="0.3">
      <c r="A14" s="1">
        <v>12</v>
      </c>
      <c r="B14" s="1"/>
      <c r="C14" s="1"/>
      <c r="D14" s="1"/>
      <c r="E14" s="1"/>
      <c r="F14" s="1"/>
      <c r="G14" s="1"/>
    </row>
    <row r="15" spans="1:7" x14ac:dyDescent="0.3">
      <c r="A15" s="1">
        <v>13</v>
      </c>
      <c r="B15" s="1"/>
      <c r="C15" s="1"/>
      <c r="D15" s="1"/>
      <c r="E15" s="1"/>
      <c r="F15" s="1"/>
      <c r="G1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BD716-31E9-47C6-A88A-4D8F90A05C42}">
  <dimension ref="B2:N25"/>
  <sheetViews>
    <sheetView tabSelected="1" zoomScale="49" workbookViewId="0">
      <selection activeCell="N9" sqref="N9"/>
    </sheetView>
  </sheetViews>
  <sheetFormatPr baseColWidth="10" defaultRowHeight="14.4" x14ac:dyDescent="0.3"/>
  <sheetData>
    <row r="2" spans="2:14" x14ac:dyDescent="0.3">
      <c r="B2" s="1" t="s">
        <v>11</v>
      </c>
      <c r="C2" s="1" t="s">
        <v>12</v>
      </c>
    </row>
    <row r="3" spans="2:14" x14ac:dyDescent="0.3">
      <c r="B3" s="1">
        <v>-2</v>
      </c>
      <c r="C3" s="1">
        <f>2*COS(B3)-(B3)^2</f>
        <v>-4.8322936730942851</v>
      </c>
    </row>
    <row r="4" spans="2:14" x14ac:dyDescent="0.3">
      <c r="B4" s="1">
        <v>-1.9</v>
      </c>
      <c r="C4" s="1">
        <f t="shared" ref="C4:C25" si="0">2*COS(B4)-(B4)^2</f>
        <v>-4.2565791337270067</v>
      </c>
    </row>
    <row r="5" spans="2:14" x14ac:dyDescent="0.3">
      <c r="B5" s="1">
        <v>-1.8</v>
      </c>
      <c r="C5" s="1">
        <f t="shared" si="0"/>
        <v>-3.6944041893861743</v>
      </c>
    </row>
    <row r="6" spans="2:14" x14ac:dyDescent="0.3">
      <c r="B6" s="1">
        <v>-1.7</v>
      </c>
      <c r="C6" s="1">
        <f t="shared" si="0"/>
        <v>-3.1476889885910491</v>
      </c>
    </row>
    <row r="7" spans="2:14" x14ac:dyDescent="0.3">
      <c r="B7" s="1">
        <v>-1.6</v>
      </c>
      <c r="C7" s="1">
        <f t="shared" si="0"/>
        <v>-2.6183990446025782</v>
      </c>
    </row>
    <row r="8" spans="2:14" x14ac:dyDescent="0.3">
      <c r="B8" s="1">
        <v>-1.5</v>
      </c>
      <c r="C8" s="1">
        <f t="shared" si="0"/>
        <v>-2.1085255966645944</v>
      </c>
    </row>
    <row r="9" spans="2:14" x14ac:dyDescent="0.3">
      <c r="B9" s="1">
        <v>-1.4</v>
      </c>
      <c r="C9" s="1">
        <f t="shared" si="0"/>
        <v>-1.6200657141995176</v>
      </c>
      <c r="N9" t="s">
        <v>13</v>
      </c>
    </row>
    <row r="10" spans="2:14" x14ac:dyDescent="0.3">
      <c r="B10" s="1">
        <v>-1.3</v>
      </c>
      <c r="C10" s="1">
        <f t="shared" si="0"/>
        <v>-1.1550023427508256</v>
      </c>
    </row>
    <row r="11" spans="2:14" x14ac:dyDescent="0.3">
      <c r="B11" s="1">
        <v>-1.2</v>
      </c>
      <c r="C11" s="1">
        <f t="shared" si="0"/>
        <v>-0.7152844910466527</v>
      </c>
    </row>
    <row r="12" spans="2:14" x14ac:dyDescent="0.3">
      <c r="B12" s="1">
        <v>-1.1000000000000001</v>
      </c>
      <c r="C12" s="1">
        <f t="shared" si="0"/>
        <v>-0.30280775714884556</v>
      </c>
    </row>
    <row r="13" spans="2:14" x14ac:dyDescent="0.3">
      <c r="B13" s="1">
        <v>-0.9</v>
      </c>
      <c r="C13" s="1">
        <f t="shared" si="0"/>
        <v>0.43321993654132873</v>
      </c>
    </row>
    <row r="14" spans="2:14" x14ac:dyDescent="0.3">
      <c r="B14" s="1">
        <v>0</v>
      </c>
      <c r="C14" s="1">
        <f t="shared" si="0"/>
        <v>2</v>
      </c>
    </row>
    <row r="15" spans="2:14" x14ac:dyDescent="0.3">
      <c r="B15" s="1">
        <v>0.9</v>
      </c>
      <c r="C15" s="1">
        <f t="shared" si="0"/>
        <v>0.43321993654132873</v>
      </c>
    </row>
    <row r="16" spans="2:14" x14ac:dyDescent="0.3">
      <c r="B16" s="11">
        <v>1.1000000000000001</v>
      </c>
      <c r="C16" s="1">
        <f t="shared" si="0"/>
        <v>-0.30280775714884556</v>
      </c>
    </row>
    <row r="17" spans="2:3" x14ac:dyDescent="0.3">
      <c r="B17" s="1">
        <v>1.2</v>
      </c>
      <c r="C17" s="1">
        <f t="shared" si="0"/>
        <v>-0.7152844910466527</v>
      </c>
    </row>
    <row r="18" spans="2:3" x14ac:dyDescent="0.3">
      <c r="B18" s="1">
        <v>1.3</v>
      </c>
      <c r="C18" s="1">
        <f t="shared" si="0"/>
        <v>-1.1550023427508256</v>
      </c>
    </row>
    <row r="19" spans="2:3" x14ac:dyDescent="0.3">
      <c r="B19" s="1">
        <v>1.4</v>
      </c>
      <c r="C19" s="1">
        <f t="shared" si="0"/>
        <v>-1.6200657141995176</v>
      </c>
    </row>
    <row r="20" spans="2:3" x14ac:dyDescent="0.3">
      <c r="B20" s="1">
        <v>1.5</v>
      </c>
      <c r="C20" s="1">
        <f t="shared" si="0"/>
        <v>-2.1085255966645944</v>
      </c>
    </row>
    <row r="21" spans="2:3" x14ac:dyDescent="0.3">
      <c r="B21" s="1">
        <v>1.6</v>
      </c>
      <c r="C21" s="1">
        <f t="shared" si="0"/>
        <v>-2.6183990446025782</v>
      </c>
    </row>
    <row r="22" spans="2:3" x14ac:dyDescent="0.3">
      <c r="B22" s="1">
        <v>1.7</v>
      </c>
      <c r="C22" s="1">
        <f t="shared" si="0"/>
        <v>-3.1476889885910491</v>
      </c>
    </row>
    <row r="23" spans="2:3" x14ac:dyDescent="0.3">
      <c r="B23" s="1">
        <v>1.8</v>
      </c>
      <c r="C23" s="1">
        <f t="shared" si="0"/>
        <v>-3.6944041893861743</v>
      </c>
    </row>
    <row r="24" spans="2:3" x14ac:dyDescent="0.3">
      <c r="B24" s="1">
        <v>1.9</v>
      </c>
      <c r="C24" s="1">
        <f t="shared" si="0"/>
        <v>-4.2565791337270067</v>
      </c>
    </row>
    <row r="25" spans="2:3" x14ac:dyDescent="0.3">
      <c r="B25" s="1">
        <v>2</v>
      </c>
      <c r="C25" s="1">
        <f t="shared" si="0"/>
        <v>-4.8322936730942851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Bisecciónn</vt:lpstr>
      <vt:lpstr>Secante</vt:lpstr>
      <vt:lpstr>grafica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Imanol Rod</dc:creator>
  <cp:lastModifiedBy>Imanol Rod</cp:lastModifiedBy>
  <dcterms:created xsi:type="dcterms:W3CDTF">2026-02-24T16:32:59Z</dcterms:created>
  <dcterms:modified xsi:type="dcterms:W3CDTF">2026-04-30T14:10:24Z</dcterms:modified>
</cp:coreProperties>
</file>