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guis\Downloads\"/>
    </mc:Choice>
  </mc:AlternateContent>
  <xr:revisionPtr revIDLastSave="0" documentId="8_{FFF412EA-AB4B-47E2-BD03-947FA208534D}" xr6:coauthVersionLast="47" xr6:coauthVersionMax="47" xr10:uidLastSave="{00000000-0000-0000-0000-000000000000}"/>
  <bookViews>
    <workbookView xWindow="-108" yWindow="-108" windowWidth="23256" windowHeight="12456" tabRatio="812" firstSheet="2" activeTab="6" xr2:uid="{00000000-000D-0000-FFFF-FFFF00000000}"/>
  </bookViews>
  <sheets>
    <sheet name="Portada" sheetId="6" r:id="rId1"/>
    <sheet name="Contenido" sheetId="7" r:id="rId2"/>
    <sheet name="Método de Newton Raphson" sheetId="1" r:id="rId3"/>
    <sheet name="Método de la secante" sheetId="2" r:id="rId4"/>
    <sheet name="Método de Bisección" sheetId="4" r:id="rId5"/>
    <sheet name="Método de Falsa posición" sheetId="5" r:id="rId6"/>
    <sheet name="Tablero Scrum" sheetId="12" r:id="rId7"/>
    <sheet name="Github" sheetId="10" r:id="rId8"/>
    <sheet name="Conclusiones" sheetId="8" r:id="rId9"/>
    <sheet name="Referencias" sheetId="9" r:id="rId10"/>
  </sheets>
  <externalReferences>
    <externalReference r:id="rId11"/>
  </externalReferences>
  <definedNames>
    <definedName name="euler">'Método de la secante'!$D$17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5" i="4" l="1"/>
  <c r="L106" i="4"/>
  <c r="L107" i="4"/>
  <c r="L108" i="4"/>
  <c r="L104" i="4"/>
  <c r="M82" i="4"/>
  <c r="M80" i="4"/>
  <c r="M94" i="4"/>
  <c r="J135" i="5"/>
  <c r="J136" i="5"/>
  <c r="J137" i="5"/>
  <c r="J138" i="5"/>
  <c r="J139" i="5"/>
  <c r="J140" i="5"/>
  <c r="J141" i="5"/>
  <c r="J134" i="5"/>
  <c r="M108" i="5"/>
  <c r="M106" i="5"/>
  <c r="A136" i="5"/>
  <c r="A137" i="5" s="1"/>
  <c r="A138" i="5" s="1"/>
  <c r="A139" i="5" s="1"/>
  <c r="A140" i="5" s="1"/>
  <c r="A141" i="5" s="1"/>
  <c r="A142" i="5" s="1"/>
  <c r="A143" i="5" s="1"/>
  <c r="A144" i="5" s="1"/>
  <c r="F135" i="5"/>
  <c r="E135" i="5"/>
  <c r="A105" i="4"/>
  <c r="A106" i="4" s="1"/>
  <c r="A107" i="4" s="1"/>
  <c r="A108" i="4" s="1"/>
  <c r="A109" i="4" s="1"/>
  <c r="A110" i="4" s="1"/>
  <c r="A111" i="4" s="1"/>
  <c r="A112" i="4" s="1"/>
  <c r="A113" i="4" s="1"/>
  <c r="F104" i="4"/>
  <c r="E104" i="4"/>
  <c r="D104" i="4"/>
  <c r="G104" i="4" s="1"/>
  <c r="I104" i="4" l="1"/>
  <c r="D135" i="5"/>
  <c r="G135" i="5" s="1"/>
  <c r="B136" i="5" s="1"/>
  <c r="E136" i="5" s="1"/>
  <c r="C105" i="4"/>
  <c r="F105" i="4" s="1"/>
  <c r="B105" i="4"/>
  <c r="D105" i="4" s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83" i="1"/>
  <c r="K92" i="2"/>
  <c r="K93" i="2"/>
  <c r="K94" i="2"/>
  <c r="K95" i="2"/>
  <c r="K96" i="2"/>
  <c r="K97" i="2"/>
  <c r="K98" i="2"/>
  <c r="K99" i="2"/>
  <c r="K100" i="2"/>
  <c r="K91" i="2"/>
  <c r="L144" i="4"/>
  <c r="L145" i="4"/>
  <c r="L146" i="4"/>
  <c r="L147" i="4"/>
  <c r="L148" i="4"/>
  <c r="L149" i="4"/>
  <c r="L150" i="4"/>
  <c r="L151" i="4"/>
  <c r="L152" i="4"/>
  <c r="L153" i="4"/>
  <c r="M81" i="4"/>
  <c r="M83" i="4"/>
  <c r="M84" i="4"/>
  <c r="M85" i="4"/>
  <c r="M86" i="4"/>
  <c r="M87" i="4"/>
  <c r="M88" i="4"/>
  <c r="M89" i="4"/>
  <c r="M90" i="4"/>
  <c r="M91" i="4"/>
  <c r="M92" i="4"/>
  <c r="M93" i="4"/>
  <c r="M95" i="4"/>
  <c r="M79" i="4"/>
  <c r="C85" i="1"/>
  <c r="D85" i="1"/>
  <c r="E91" i="2"/>
  <c r="D91" i="2"/>
  <c r="F91" i="2" s="1"/>
  <c r="D57" i="2"/>
  <c r="B92" i="2"/>
  <c r="D92" i="2" s="1"/>
  <c r="M107" i="5"/>
  <c r="M109" i="5"/>
  <c r="M110" i="5"/>
  <c r="M111" i="5"/>
  <c r="M112" i="5"/>
  <c r="M113" i="5"/>
  <c r="M114" i="5"/>
  <c r="M115" i="5"/>
  <c r="E106" i="5"/>
  <c r="D106" i="5"/>
  <c r="F106" i="5" s="1"/>
  <c r="G106" i="5" s="1"/>
  <c r="M83" i="5"/>
  <c r="M84" i="5"/>
  <c r="M85" i="5"/>
  <c r="M86" i="5"/>
  <c r="M87" i="5"/>
  <c r="M88" i="5"/>
  <c r="M89" i="5"/>
  <c r="M90" i="5"/>
  <c r="M91" i="5"/>
  <c r="M82" i="5"/>
  <c r="E82" i="5"/>
  <c r="D82" i="5"/>
  <c r="M56" i="5"/>
  <c r="M57" i="5"/>
  <c r="M58" i="5"/>
  <c r="M59" i="5"/>
  <c r="M60" i="5"/>
  <c r="M61" i="5"/>
  <c r="M55" i="5"/>
  <c r="E54" i="5"/>
  <c r="D54" i="5"/>
  <c r="M25" i="5"/>
  <c r="L143" i="4"/>
  <c r="E143" i="4"/>
  <c r="D143" i="4"/>
  <c r="F143" i="4" s="1"/>
  <c r="E82" i="4"/>
  <c r="M45" i="4"/>
  <c r="D82" i="4"/>
  <c r="I82" i="4" s="1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E44" i="4"/>
  <c r="D44" i="4"/>
  <c r="F44" i="4" s="1"/>
  <c r="M35" i="4"/>
  <c r="M23" i="4"/>
  <c r="M24" i="4"/>
  <c r="M25" i="4"/>
  <c r="M26" i="4"/>
  <c r="M27" i="4"/>
  <c r="M28" i="4"/>
  <c r="M29" i="4"/>
  <c r="M30" i="4"/>
  <c r="M31" i="4"/>
  <c r="M32" i="4"/>
  <c r="M33" i="4"/>
  <c r="M34" i="4"/>
  <c r="M22" i="4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D24" i="5"/>
  <c r="E24" i="5"/>
  <c r="D19" i="5"/>
  <c r="K17" i="2"/>
  <c r="E22" i="4"/>
  <c r="D22" i="4"/>
  <c r="F22" i="4" s="1"/>
  <c r="K69" i="2"/>
  <c r="K70" i="2"/>
  <c r="K71" i="2"/>
  <c r="K72" i="2"/>
  <c r="K73" i="2"/>
  <c r="K74" i="2"/>
  <c r="K75" i="2"/>
  <c r="K76" i="2"/>
  <c r="K77" i="2"/>
  <c r="K68" i="2"/>
  <c r="K61" i="2"/>
  <c r="K60" i="2"/>
  <c r="K59" i="2"/>
  <c r="K58" i="2"/>
  <c r="K57" i="2"/>
  <c r="K56" i="2"/>
  <c r="K55" i="2"/>
  <c r="K54" i="2"/>
  <c r="K53" i="2"/>
  <c r="K52" i="2"/>
  <c r="E72" i="2"/>
  <c r="D72" i="2"/>
  <c r="B73" i="2"/>
  <c r="D73" i="2" s="1"/>
  <c r="B57" i="2"/>
  <c r="B42" i="2"/>
  <c r="D42" i="2" s="1"/>
  <c r="E56" i="2"/>
  <c r="F56" i="2" s="1"/>
  <c r="C57" i="2" s="1"/>
  <c r="D56" i="2"/>
  <c r="E41" i="2"/>
  <c r="D41" i="2"/>
  <c r="F41" i="2" s="1"/>
  <c r="C42" i="2" s="1"/>
  <c r="K36" i="2"/>
  <c r="K37" i="2"/>
  <c r="K38" i="2"/>
  <c r="K39" i="2"/>
  <c r="K40" i="2"/>
  <c r="K41" i="2"/>
  <c r="K35" i="2"/>
  <c r="B23" i="2"/>
  <c r="J13" i="1"/>
  <c r="D17" i="2"/>
  <c r="K20" i="2" s="1"/>
  <c r="J122" i="1"/>
  <c r="J121" i="1"/>
  <c r="J120" i="1"/>
  <c r="J119" i="1"/>
  <c r="J118" i="1"/>
  <c r="J117" i="1"/>
  <c r="J116" i="1"/>
  <c r="J115" i="1"/>
  <c r="J114" i="1"/>
  <c r="J113" i="1"/>
  <c r="J112" i="1"/>
  <c r="D116" i="1"/>
  <c r="C11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D63" i="1"/>
  <c r="C63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D42" i="1"/>
  <c r="C42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B18" i="1"/>
  <c r="D18" i="1" s="1"/>
  <c r="C92" i="2" l="1"/>
  <c r="G105" i="4"/>
  <c r="C106" i="4" s="1"/>
  <c r="F106" i="4" s="1"/>
  <c r="I105" i="4"/>
  <c r="H105" i="4"/>
  <c r="C136" i="5"/>
  <c r="E105" i="4"/>
  <c r="G143" i="4"/>
  <c r="C144" i="4" s="1"/>
  <c r="I44" i="4"/>
  <c r="F82" i="4"/>
  <c r="G82" i="4" s="1"/>
  <c r="B106" i="4"/>
  <c r="E116" i="1"/>
  <c r="B117" i="1" s="1"/>
  <c r="C117" i="1" s="1"/>
  <c r="E85" i="1"/>
  <c r="B86" i="1" s="1"/>
  <c r="C18" i="1"/>
  <c r="E18" i="1" s="1"/>
  <c r="F18" i="1" s="1"/>
  <c r="H106" i="5"/>
  <c r="F82" i="5"/>
  <c r="F54" i="5"/>
  <c r="G54" i="5" s="1"/>
  <c r="H54" i="5" s="1"/>
  <c r="B55" i="5" s="1"/>
  <c r="D55" i="5" s="1"/>
  <c r="F24" i="5"/>
  <c r="G24" i="5" s="1"/>
  <c r="H24" i="5" s="1"/>
  <c r="C25" i="5" s="1"/>
  <c r="I143" i="4"/>
  <c r="I22" i="4"/>
  <c r="G44" i="4"/>
  <c r="C45" i="4" s="1"/>
  <c r="G22" i="4"/>
  <c r="B23" i="4" s="1"/>
  <c r="E42" i="1"/>
  <c r="B43" i="1" s="1"/>
  <c r="K21" i="2"/>
  <c r="E63" i="1"/>
  <c r="F63" i="1" s="1"/>
  <c r="K18" i="2"/>
  <c r="D22" i="2"/>
  <c r="K28" i="2"/>
  <c r="D23" i="2"/>
  <c r="K24" i="2"/>
  <c r="F72" i="2"/>
  <c r="C73" i="2" s="1"/>
  <c r="B74" i="2" s="1"/>
  <c r="D74" i="2" s="1"/>
  <c r="K23" i="2"/>
  <c r="K29" i="2"/>
  <c r="K27" i="2"/>
  <c r="K26" i="2"/>
  <c r="K22" i="2"/>
  <c r="B43" i="2"/>
  <c r="D43" i="2" s="1"/>
  <c r="G42" i="2"/>
  <c r="E42" i="2"/>
  <c r="F42" i="2" s="1"/>
  <c r="C43" i="2" s="1"/>
  <c r="G57" i="2"/>
  <c r="E57" i="2"/>
  <c r="F57" i="2" s="1"/>
  <c r="C58" i="2" s="1"/>
  <c r="B58" i="2"/>
  <c r="D58" i="2" s="1"/>
  <c r="K19" i="2"/>
  <c r="E22" i="2"/>
  <c r="F22" i="2" s="1"/>
  <c r="K30" i="2"/>
  <c r="K25" i="2"/>
  <c r="K16" i="2"/>
  <c r="G82" i="5" l="1"/>
  <c r="H82" i="5" s="1"/>
  <c r="F116" i="1"/>
  <c r="D117" i="1"/>
  <c r="B93" i="2"/>
  <c r="D93" i="2" s="1"/>
  <c r="E92" i="2"/>
  <c r="F92" i="2" s="1"/>
  <c r="C93" i="2" s="1"/>
  <c r="E93" i="2" s="1"/>
  <c r="G92" i="2"/>
  <c r="F136" i="5"/>
  <c r="D106" i="4"/>
  <c r="E106" i="4"/>
  <c r="B64" i="1"/>
  <c r="D64" i="1" s="1"/>
  <c r="E117" i="1"/>
  <c r="B118" i="1" s="1"/>
  <c r="F42" i="1"/>
  <c r="D86" i="1"/>
  <c r="C86" i="1"/>
  <c r="E86" i="1" s="1"/>
  <c r="F85" i="1"/>
  <c r="C107" i="5"/>
  <c r="B107" i="5"/>
  <c r="D107" i="5" s="1"/>
  <c r="C55" i="5"/>
  <c r="B144" i="4"/>
  <c r="E144" i="4" s="1"/>
  <c r="B45" i="4"/>
  <c r="E45" i="4" s="1"/>
  <c r="C23" i="4"/>
  <c r="E25" i="5"/>
  <c r="B25" i="5"/>
  <c r="D25" i="5" s="1"/>
  <c r="C83" i="4"/>
  <c r="B83" i="4"/>
  <c r="E83" i="4" s="1"/>
  <c r="G73" i="2"/>
  <c r="E73" i="2"/>
  <c r="F73" i="2" s="1"/>
  <c r="C74" i="2" s="1"/>
  <c r="C23" i="2"/>
  <c r="B24" i="2" s="1"/>
  <c r="D24" i="2" s="1"/>
  <c r="E74" i="2"/>
  <c r="G74" i="2"/>
  <c r="B75" i="2"/>
  <c r="D75" i="2" s="1"/>
  <c r="E58" i="2"/>
  <c r="F58" i="2" s="1"/>
  <c r="C59" i="2" s="1"/>
  <c r="G58" i="2"/>
  <c r="B59" i="2"/>
  <c r="D59" i="2" s="1"/>
  <c r="E43" i="2"/>
  <c r="F43" i="2" s="1"/>
  <c r="C44" i="2" s="1"/>
  <c r="G43" i="2"/>
  <c r="B44" i="2"/>
  <c r="D44" i="2" s="1"/>
  <c r="C64" i="1"/>
  <c r="D43" i="1"/>
  <c r="C43" i="1"/>
  <c r="E43" i="1" s="1"/>
  <c r="B19" i="1"/>
  <c r="B83" i="5" l="1"/>
  <c r="D83" i="5" s="1"/>
  <c r="C83" i="5"/>
  <c r="B94" i="2"/>
  <c r="D94" i="2" s="1"/>
  <c r="F93" i="2"/>
  <c r="C94" i="2" s="1"/>
  <c r="E94" i="2" s="1"/>
  <c r="G93" i="2"/>
  <c r="G106" i="4"/>
  <c r="C107" i="4" s="1"/>
  <c r="F107" i="4" s="1"/>
  <c r="I106" i="4"/>
  <c r="H106" i="4"/>
  <c r="F74" i="2"/>
  <c r="C75" i="2" s="1"/>
  <c r="G75" i="2" s="1"/>
  <c r="D136" i="5"/>
  <c r="G136" i="5" s="1"/>
  <c r="B137" i="5" s="1"/>
  <c r="E137" i="5" s="1"/>
  <c r="B107" i="4"/>
  <c r="E107" i="4" s="1"/>
  <c r="D107" i="4"/>
  <c r="E64" i="1"/>
  <c r="B65" i="1" s="1"/>
  <c r="F117" i="1"/>
  <c r="B87" i="1"/>
  <c r="F86" i="1"/>
  <c r="E107" i="5"/>
  <c r="F107" i="5"/>
  <c r="E55" i="5"/>
  <c r="F55" i="5" s="1"/>
  <c r="D144" i="4"/>
  <c r="D45" i="4"/>
  <c r="F25" i="5"/>
  <c r="D83" i="4"/>
  <c r="D23" i="4"/>
  <c r="H23" i="4" s="1"/>
  <c r="E23" i="4"/>
  <c r="G23" i="2"/>
  <c r="E59" i="2"/>
  <c r="F59" i="2" s="1"/>
  <c r="C60" i="2" s="1"/>
  <c r="G59" i="2"/>
  <c r="B60" i="2"/>
  <c r="D60" i="2" s="1"/>
  <c r="G44" i="2"/>
  <c r="B45" i="2"/>
  <c r="D45" i="2" s="1"/>
  <c r="E44" i="2"/>
  <c r="F44" i="2" s="1"/>
  <c r="C45" i="2" s="1"/>
  <c r="E23" i="2"/>
  <c r="F23" i="2" s="1"/>
  <c r="C24" i="2" s="1"/>
  <c r="D118" i="1"/>
  <c r="C118" i="1"/>
  <c r="E118" i="1" s="1"/>
  <c r="F64" i="1"/>
  <c r="B44" i="1"/>
  <c r="F43" i="1"/>
  <c r="D19" i="1"/>
  <c r="C19" i="1"/>
  <c r="G107" i="4" l="1"/>
  <c r="C108" i="4" s="1"/>
  <c r="F108" i="4" s="1"/>
  <c r="I107" i="4"/>
  <c r="H107" i="4"/>
  <c r="F83" i="4"/>
  <c r="G83" i="4" s="1"/>
  <c r="C84" i="4" s="1"/>
  <c r="I83" i="4"/>
  <c r="H83" i="4"/>
  <c r="E75" i="2"/>
  <c r="F75" i="2" s="1"/>
  <c r="C76" i="2" s="1"/>
  <c r="G94" i="2"/>
  <c r="E83" i="5"/>
  <c r="F83" i="5" s="1"/>
  <c r="B76" i="2"/>
  <c r="D76" i="2" s="1"/>
  <c r="F94" i="2"/>
  <c r="C95" i="2" s="1"/>
  <c r="E95" i="2" s="1"/>
  <c r="B95" i="2"/>
  <c r="D95" i="2" s="1"/>
  <c r="C137" i="5"/>
  <c r="B84" i="4"/>
  <c r="F144" i="4"/>
  <c r="G144" i="4" s="1"/>
  <c r="H45" i="4"/>
  <c r="I45" i="4"/>
  <c r="B108" i="4"/>
  <c r="E19" i="1"/>
  <c r="B20" i="1" s="1"/>
  <c r="C87" i="1"/>
  <c r="D87" i="1"/>
  <c r="G107" i="5"/>
  <c r="H107" i="5" s="1"/>
  <c r="I107" i="5"/>
  <c r="G55" i="5"/>
  <c r="H55" i="5" s="1"/>
  <c r="I55" i="5"/>
  <c r="I144" i="4"/>
  <c r="H144" i="4"/>
  <c r="F45" i="4"/>
  <c r="G45" i="4" s="1"/>
  <c r="C46" i="4" s="1"/>
  <c r="I25" i="5"/>
  <c r="G25" i="5"/>
  <c r="H25" i="5" s="1"/>
  <c r="F23" i="4"/>
  <c r="G23" i="4" s="1"/>
  <c r="I23" i="4"/>
  <c r="E45" i="2"/>
  <c r="F45" i="2" s="1"/>
  <c r="C46" i="2" s="1"/>
  <c r="B46" i="2"/>
  <c r="D46" i="2" s="1"/>
  <c r="G45" i="2"/>
  <c r="E24" i="2"/>
  <c r="F24" i="2" s="1"/>
  <c r="C25" i="2" s="1"/>
  <c r="G24" i="2"/>
  <c r="B25" i="2"/>
  <c r="D25" i="2" s="1"/>
  <c r="B61" i="2"/>
  <c r="D61" i="2" s="1"/>
  <c r="E60" i="2"/>
  <c r="F60" i="2" s="1"/>
  <c r="C61" i="2" s="1"/>
  <c r="G60" i="2"/>
  <c r="B119" i="1"/>
  <c r="F118" i="1"/>
  <c r="D65" i="1"/>
  <c r="C65" i="1"/>
  <c r="D44" i="1"/>
  <c r="C44" i="1"/>
  <c r="G83" i="5" l="1"/>
  <c r="H83" i="5" s="1"/>
  <c r="I83" i="5"/>
  <c r="E76" i="2"/>
  <c r="F76" i="2"/>
  <c r="G76" i="2"/>
  <c r="F95" i="2"/>
  <c r="G95" i="2"/>
  <c r="F137" i="5"/>
  <c r="C145" i="4"/>
  <c r="B145" i="4"/>
  <c r="E145" i="4" s="1"/>
  <c r="B46" i="4"/>
  <c r="D46" i="4" s="1"/>
  <c r="I46" i="4" s="1"/>
  <c r="D84" i="4"/>
  <c r="H84" i="4" s="1"/>
  <c r="E84" i="4"/>
  <c r="E108" i="4"/>
  <c r="D108" i="4"/>
  <c r="E65" i="1"/>
  <c r="B66" i="1" s="1"/>
  <c r="F19" i="1"/>
  <c r="E87" i="1"/>
  <c r="B88" i="1" s="1"/>
  <c r="C108" i="5"/>
  <c r="B108" i="5"/>
  <c r="D108" i="5" s="1"/>
  <c r="B56" i="5"/>
  <c r="D56" i="5" s="1"/>
  <c r="C56" i="5"/>
  <c r="B26" i="5"/>
  <c r="D26" i="5" s="1"/>
  <c r="C26" i="5"/>
  <c r="C24" i="4"/>
  <c r="B24" i="4"/>
  <c r="E44" i="1"/>
  <c r="B45" i="1" s="1"/>
  <c r="D45" i="1" s="1"/>
  <c r="E61" i="2"/>
  <c r="F61" i="2" s="1"/>
  <c r="G61" i="2"/>
  <c r="E46" i="2"/>
  <c r="F46" i="2" s="1"/>
  <c r="C47" i="2" s="1"/>
  <c r="G46" i="2"/>
  <c r="B47" i="2"/>
  <c r="D47" i="2" s="1"/>
  <c r="B26" i="2"/>
  <c r="D26" i="2" s="1"/>
  <c r="G25" i="2"/>
  <c r="E25" i="2"/>
  <c r="F25" i="2" s="1"/>
  <c r="C26" i="2" s="1"/>
  <c r="C119" i="1"/>
  <c r="D119" i="1"/>
  <c r="D20" i="1"/>
  <c r="C20" i="1"/>
  <c r="G108" i="4" l="1"/>
  <c r="C109" i="4" s="1"/>
  <c r="F109" i="4" s="1"/>
  <c r="I108" i="4"/>
  <c r="H108" i="4"/>
  <c r="F44" i="1"/>
  <c r="E46" i="4"/>
  <c r="D145" i="4"/>
  <c r="F145" i="4" s="1"/>
  <c r="B84" i="5"/>
  <c r="D84" i="5" s="1"/>
  <c r="C84" i="5"/>
  <c r="D137" i="5"/>
  <c r="G137" i="5" s="1"/>
  <c r="B138" i="5" s="1"/>
  <c r="E138" i="5" s="1"/>
  <c r="F84" i="4"/>
  <c r="G84" i="4" s="1"/>
  <c r="I84" i="4"/>
  <c r="B109" i="4"/>
  <c r="F65" i="1"/>
  <c r="F87" i="1"/>
  <c r="E20" i="1"/>
  <c r="B21" i="1" s="1"/>
  <c r="C88" i="1"/>
  <c r="D88" i="1"/>
  <c r="E108" i="5"/>
  <c r="F108" i="5"/>
  <c r="E56" i="5"/>
  <c r="F56" i="5" s="1"/>
  <c r="I145" i="4"/>
  <c r="H145" i="4"/>
  <c r="G145" i="4"/>
  <c r="C146" i="4" s="1"/>
  <c r="H46" i="4"/>
  <c r="F46" i="4"/>
  <c r="G46" i="4" s="1"/>
  <c r="E26" i="5"/>
  <c r="F26" i="5" s="1"/>
  <c r="D24" i="4"/>
  <c r="E24" i="4"/>
  <c r="E119" i="1"/>
  <c r="B120" i="1" s="1"/>
  <c r="B27" i="2"/>
  <c r="D27" i="2" s="1"/>
  <c r="G26" i="2"/>
  <c r="E26" i="2"/>
  <c r="F26" i="2" s="1"/>
  <c r="C27" i="2" s="1"/>
  <c r="G47" i="2"/>
  <c r="B48" i="2"/>
  <c r="D48" i="2" s="1"/>
  <c r="E47" i="2"/>
  <c r="F47" i="2" s="1"/>
  <c r="C48" i="2" s="1"/>
  <c r="D66" i="1"/>
  <c r="C66" i="1"/>
  <c r="E66" i="1" s="1"/>
  <c r="C45" i="1"/>
  <c r="E84" i="5" l="1"/>
  <c r="F84" i="5"/>
  <c r="C138" i="5"/>
  <c r="B85" i="4"/>
  <c r="C85" i="4"/>
  <c r="D109" i="4"/>
  <c r="E109" i="4"/>
  <c r="E88" i="1"/>
  <c r="F88" i="1" s="1"/>
  <c r="F20" i="1"/>
  <c r="F119" i="1"/>
  <c r="G108" i="5"/>
  <c r="H108" i="5" s="1"/>
  <c r="I108" i="5"/>
  <c r="G56" i="5"/>
  <c r="H56" i="5" s="1"/>
  <c r="I56" i="5"/>
  <c r="B146" i="4"/>
  <c r="B47" i="4"/>
  <c r="C47" i="4"/>
  <c r="G26" i="5"/>
  <c r="H26" i="5" s="1"/>
  <c r="I26" i="5"/>
  <c r="F24" i="4"/>
  <c r="G24" i="4" s="1"/>
  <c r="H24" i="4"/>
  <c r="I24" i="4"/>
  <c r="E45" i="1"/>
  <c r="F45" i="1" s="1"/>
  <c r="G27" i="2"/>
  <c r="E27" i="2"/>
  <c r="F27" i="2" s="1"/>
  <c r="C28" i="2" s="1"/>
  <c r="B28" i="2"/>
  <c r="D28" i="2" s="1"/>
  <c r="E48" i="2"/>
  <c r="F48" i="2" s="1"/>
  <c r="G48" i="2"/>
  <c r="D120" i="1"/>
  <c r="C120" i="1"/>
  <c r="E120" i="1" s="1"/>
  <c r="B67" i="1"/>
  <c r="F66" i="1"/>
  <c r="D21" i="1"/>
  <c r="C21" i="1"/>
  <c r="E21" i="1" s="1"/>
  <c r="G109" i="4" l="1"/>
  <c r="C110" i="4" s="1"/>
  <c r="F110" i="4" s="1"/>
  <c r="I109" i="4"/>
  <c r="H109" i="4"/>
  <c r="I84" i="5"/>
  <c r="G84" i="5"/>
  <c r="H84" i="5" s="1"/>
  <c r="F138" i="5"/>
  <c r="D85" i="4"/>
  <c r="I85" i="4" s="1"/>
  <c r="E85" i="4"/>
  <c r="B110" i="4"/>
  <c r="B89" i="1"/>
  <c r="B46" i="1"/>
  <c r="D46" i="1" s="1"/>
  <c r="C89" i="1"/>
  <c r="D89" i="1"/>
  <c r="C109" i="5"/>
  <c r="B109" i="5"/>
  <c r="D109" i="5" s="1"/>
  <c r="B57" i="5"/>
  <c r="D57" i="5" s="1"/>
  <c r="C57" i="5"/>
  <c r="D146" i="4"/>
  <c r="F146" i="4" s="1"/>
  <c r="E146" i="4"/>
  <c r="E47" i="4"/>
  <c r="D47" i="4"/>
  <c r="I47" i="4" s="1"/>
  <c r="C27" i="5"/>
  <c r="E27" i="5" s="1"/>
  <c r="B27" i="5"/>
  <c r="D27" i="5" s="1"/>
  <c r="C25" i="4"/>
  <c r="B25" i="4"/>
  <c r="B29" i="2"/>
  <c r="D29" i="2" s="1"/>
  <c r="E28" i="2"/>
  <c r="F28" i="2" s="1"/>
  <c r="C29" i="2" s="1"/>
  <c r="G29" i="2" s="1"/>
  <c r="G28" i="2"/>
  <c r="B121" i="1"/>
  <c r="F120" i="1"/>
  <c r="D67" i="1"/>
  <c r="C67" i="1"/>
  <c r="B22" i="1"/>
  <c r="F21" i="1"/>
  <c r="C85" i="5" l="1"/>
  <c r="B85" i="5"/>
  <c r="D85" i="5" s="1"/>
  <c r="D138" i="5"/>
  <c r="G138" i="5" s="1"/>
  <c r="B139" i="5" s="1"/>
  <c r="E139" i="5" s="1"/>
  <c r="H85" i="4"/>
  <c r="F85" i="4"/>
  <c r="G85" i="4" s="1"/>
  <c r="D110" i="4"/>
  <c r="E110" i="4"/>
  <c r="C46" i="1"/>
  <c r="E46" i="1" s="1"/>
  <c r="E67" i="1"/>
  <c r="B68" i="1" s="1"/>
  <c r="E89" i="1"/>
  <c r="B90" i="1" s="1"/>
  <c r="E109" i="5"/>
  <c r="F109" i="5" s="1"/>
  <c r="E57" i="5"/>
  <c r="F57" i="5" s="1"/>
  <c r="H146" i="4"/>
  <c r="I146" i="4"/>
  <c r="G146" i="4"/>
  <c r="C147" i="4" s="1"/>
  <c r="H47" i="4"/>
  <c r="F47" i="4"/>
  <c r="G47" i="4" s="1"/>
  <c r="F27" i="5"/>
  <c r="D25" i="4"/>
  <c r="E25" i="4"/>
  <c r="E29" i="2"/>
  <c r="F29" i="2" s="1"/>
  <c r="D121" i="1"/>
  <c r="C121" i="1"/>
  <c r="D22" i="1"/>
  <c r="C22" i="1"/>
  <c r="G110" i="4" l="1"/>
  <c r="C111" i="4" s="1"/>
  <c r="F111" i="4" s="1"/>
  <c r="I110" i="4"/>
  <c r="H110" i="4"/>
  <c r="E85" i="5"/>
  <c r="F85" i="5" s="1"/>
  <c r="C139" i="5"/>
  <c r="B111" i="4"/>
  <c r="B86" i="4"/>
  <c r="C86" i="4"/>
  <c r="E111" i="4"/>
  <c r="D111" i="4"/>
  <c r="B47" i="1"/>
  <c r="C47" i="1" s="1"/>
  <c r="F46" i="1"/>
  <c r="E22" i="1"/>
  <c r="F22" i="1" s="1"/>
  <c r="F67" i="1"/>
  <c r="E121" i="1"/>
  <c r="F121" i="1" s="1"/>
  <c r="F89" i="1"/>
  <c r="C90" i="1"/>
  <c r="D90" i="1"/>
  <c r="I109" i="5"/>
  <c r="G109" i="5"/>
  <c r="H109" i="5" s="1"/>
  <c r="I57" i="5"/>
  <c r="G57" i="5"/>
  <c r="H57" i="5" s="1"/>
  <c r="B147" i="4"/>
  <c r="B48" i="4"/>
  <c r="C48" i="4"/>
  <c r="I27" i="5"/>
  <c r="G27" i="5"/>
  <c r="H27" i="5" s="1"/>
  <c r="F25" i="4"/>
  <c r="G25" i="4" s="1"/>
  <c r="I25" i="4"/>
  <c r="H25" i="4"/>
  <c r="D68" i="1"/>
  <c r="C68" i="1"/>
  <c r="E68" i="1" s="1"/>
  <c r="F68" i="1" s="1"/>
  <c r="I85" i="5" l="1"/>
  <c r="G85" i="5"/>
  <c r="H85" i="5" s="1"/>
  <c r="G111" i="4"/>
  <c r="C112" i="4" s="1"/>
  <c r="F112" i="4" s="1"/>
  <c r="I111" i="4"/>
  <c r="H111" i="4"/>
  <c r="D47" i="1"/>
  <c r="B23" i="1"/>
  <c r="D23" i="1" s="1"/>
  <c r="B122" i="1"/>
  <c r="F139" i="5"/>
  <c r="D139" i="5"/>
  <c r="G139" i="5" s="1"/>
  <c r="B140" i="5" s="1"/>
  <c r="E140" i="5" s="1"/>
  <c r="E86" i="4"/>
  <c r="D86" i="4"/>
  <c r="I86" i="4" s="1"/>
  <c r="B112" i="4"/>
  <c r="E90" i="1"/>
  <c r="F90" i="1" s="1"/>
  <c r="E47" i="1"/>
  <c r="B48" i="1" s="1"/>
  <c r="C110" i="5"/>
  <c r="B110" i="5"/>
  <c r="D110" i="5" s="1"/>
  <c r="C58" i="5"/>
  <c r="B58" i="5"/>
  <c r="D58" i="5" s="1"/>
  <c r="D147" i="4"/>
  <c r="F147" i="4" s="1"/>
  <c r="E147" i="4"/>
  <c r="E48" i="4"/>
  <c r="D48" i="4"/>
  <c r="I48" i="4" s="1"/>
  <c r="C28" i="5"/>
  <c r="E28" i="5" s="1"/>
  <c r="B28" i="5"/>
  <c r="D28" i="5" s="1"/>
  <c r="C26" i="4"/>
  <c r="B26" i="4"/>
  <c r="C122" i="1"/>
  <c r="D122" i="1"/>
  <c r="F47" i="1" l="1"/>
  <c r="C86" i="5"/>
  <c r="B86" i="5"/>
  <c r="D86" i="5" s="1"/>
  <c r="C23" i="1"/>
  <c r="C140" i="5"/>
  <c r="F86" i="4"/>
  <c r="G86" i="4" s="1"/>
  <c r="H86" i="4"/>
  <c r="E112" i="4"/>
  <c r="D112" i="4"/>
  <c r="E122" i="1"/>
  <c r="F122" i="1" s="1"/>
  <c r="E23" i="1"/>
  <c r="B24" i="1" s="1"/>
  <c r="E110" i="5"/>
  <c r="F110" i="5" s="1"/>
  <c r="E58" i="5"/>
  <c r="F58" i="5" s="1"/>
  <c r="H147" i="4"/>
  <c r="I147" i="4"/>
  <c r="G147" i="4"/>
  <c r="C148" i="4" s="1"/>
  <c r="F48" i="4"/>
  <c r="G48" i="4" s="1"/>
  <c r="H48" i="4"/>
  <c r="F28" i="5"/>
  <c r="G28" i="5" s="1"/>
  <c r="H28" i="5" s="1"/>
  <c r="E26" i="4"/>
  <c r="D26" i="4"/>
  <c r="D48" i="1"/>
  <c r="C48" i="1"/>
  <c r="F23" i="1" l="1"/>
  <c r="G112" i="4"/>
  <c r="C113" i="4" s="1"/>
  <c r="F113" i="4" s="1"/>
  <c r="I112" i="4"/>
  <c r="H112" i="4"/>
  <c r="E86" i="5"/>
  <c r="F86" i="5"/>
  <c r="F140" i="5"/>
  <c r="D140" i="5" s="1"/>
  <c r="G140" i="5" s="1"/>
  <c r="B141" i="5" s="1"/>
  <c r="E141" i="5" s="1"/>
  <c r="B87" i="4"/>
  <c r="C87" i="4"/>
  <c r="B113" i="4"/>
  <c r="E48" i="1"/>
  <c r="B49" i="1" s="1"/>
  <c r="I110" i="5"/>
  <c r="G110" i="5"/>
  <c r="H110" i="5" s="1"/>
  <c r="I58" i="5"/>
  <c r="G58" i="5"/>
  <c r="H58" i="5" s="1"/>
  <c r="I28" i="5"/>
  <c r="B148" i="4"/>
  <c r="B49" i="4"/>
  <c r="C49" i="4"/>
  <c r="B29" i="5"/>
  <c r="D29" i="5" s="1"/>
  <c r="C29" i="5"/>
  <c r="E29" i="5" s="1"/>
  <c r="I26" i="4"/>
  <c r="F26" i="4"/>
  <c r="G26" i="4" s="1"/>
  <c r="H26" i="4"/>
  <c r="C24" i="1"/>
  <c r="D24" i="1"/>
  <c r="I86" i="5" l="1"/>
  <c r="G86" i="5"/>
  <c r="H86" i="5" s="1"/>
  <c r="C141" i="5"/>
  <c r="D87" i="4"/>
  <c r="I87" i="4" s="1"/>
  <c r="E87" i="4"/>
  <c r="D113" i="4"/>
  <c r="E113" i="4"/>
  <c r="F48" i="1"/>
  <c r="E24" i="1"/>
  <c r="F24" i="1" s="1"/>
  <c r="C111" i="5"/>
  <c r="B111" i="5"/>
  <c r="D111" i="5" s="1"/>
  <c r="C59" i="5"/>
  <c r="E59" i="5" s="1"/>
  <c r="B59" i="5"/>
  <c r="D59" i="5" s="1"/>
  <c r="E148" i="4"/>
  <c r="D148" i="4"/>
  <c r="F148" i="4" s="1"/>
  <c r="D49" i="4"/>
  <c r="I49" i="4" s="1"/>
  <c r="E49" i="4"/>
  <c r="F29" i="5"/>
  <c r="I29" i="5" s="1"/>
  <c r="B27" i="4"/>
  <c r="C27" i="4"/>
  <c r="D49" i="1"/>
  <c r="C49" i="1"/>
  <c r="E49" i="1" s="1"/>
  <c r="B87" i="5" l="1"/>
  <c r="D87" i="5" s="1"/>
  <c r="C87" i="5"/>
  <c r="G113" i="4"/>
  <c r="I113" i="4"/>
  <c r="H113" i="4"/>
  <c r="F141" i="5"/>
  <c r="F87" i="4"/>
  <c r="G87" i="4" s="1"/>
  <c r="H87" i="4"/>
  <c r="E111" i="5"/>
  <c r="F111" i="5" s="1"/>
  <c r="F59" i="5"/>
  <c r="G59" i="5" s="1"/>
  <c r="H59" i="5" s="1"/>
  <c r="H148" i="4"/>
  <c r="I148" i="4"/>
  <c r="G148" i="4"/>
  <c r="C149" i="4" s="1"/>
  <c r="F49" i="4"/>
  <c r="G49" i="4" s="1"/>
  <c r="H49" i="4"/>
  <c r="G29" i="5"/>
  <c r="H29" i="5" s="1"/>
  <c r="B30" i="5" s="1"/>
  <c r="D30" i="5" s="1"/>
  <c r="D27" i="4"/>
  <c r="E27" i="4"/>
  <c r="B50" i="1"/>
  <c r="F49" i="1"/>
  <c r="E87" i="5" l="1"/>
  <c r="F87" i="5"/>
  <c r="D141" i="5"/>
  <c r="G141" i="5" s="1"/>
  <c r="B142" i="5" s="1"/>
  <c r="E142" i="5" s="1"/>
  <c r="C88" i="4"/>
  <c r="B88" i="4"/>
  <c r="G111" i="5"/>
  <c r="H111" i="5" s="1"/>
  <c r="I111" i="5"/>
  <c r="I59" i="5"/>
  <c r="B60" i="5"/>
  <c r="D60" i="5" s="1"/>
  <c r="C60" i="5"/>
  <c r="E60" i="5" s="1"/>
  <c r="B149" i="4"/>
  <c r="B50" i="4"/>
  <c r="C50" i="4"/>
  <c r="C30" i="5"/>
  <c r="E30" i="5" s="1"/>
  <c r="F27" i="4"/>
  <c r="G27" i="4" s="1"/>
  <c r="H27" i="4"/>
  <c r="I27" i="4"/>
  <c r="D50" i="1"/>
  <c r="C50" i="1"/>
  <c r="G87" i="5" l="1"/>
  <c r="H87" i="5" s="1"/>
  <c r="I87" i="5"/>
  <c r="C142" i="5"/>
  <c r="E88" i="4"/>
  <c r="D88" i="4"/>
  <c r="I88" i="4" s="1"/>
  <c r="E50" i="1"/>
  <c r="B51" i="1" s="1"/>
  <c r="C112" i="5"/>
  <c r="B112" i="5"/>
  <c r="D112" i="5" s="1"/>
  <c r="F60" i="5"/>
  <c r="E149" i="4"/>
  <c r="D149" i="4"/>
  <c r="F149" i="4" s="1"/>
  <c r="D50" i="4"/>
  <c r="I50" i="4" s="1"/>
  <c r="E50" i="4"/>
  <c r="F30" i="5"/>
  <c r="C28" i="4"/>
  <c r="B28" i="4"/>
  <c r="C88" i="5" l="1"/>
  <c r="B88" i="5"/>
  <c r="D88" i="5" s="1"/>
  <c r="F142" i="5"/>
  <c r="H88" i="4"/>
  <c r="F88" i="4"/>
  <c r="G88" i="4" s="1"/>
  <c r="F50" i="1"/>
  <c r="E112" i="5"/>
  <c r="F112" i="5" s="1"/>
  <c r="I60" i="5"/>
  <c r="G60" i="5"/>
  <c r="H60" i="5" s="1"/>
  <c r="G149" i="4"/>
  <c r="C150" i="4" s="1"/>
  <c r="H149" i="4"/>
  <c r="I149" i="4"/>
  <c r="F50" i="4"/>
  <c r="G50" i="4" s="1"/>
  <c r="H50" i="4"/>
  <c r="G30" i="5"/>
  <c r="H30" i="5" s="1"/>
  <c r="I30" i="5"/>
  <c r="D28" i="4"/>
  <c r="E28" i="4"/>
  <c r="D51" i="1"/>
  <c r="C51" i="1"/>
  <c r="E88" i="5" l="1"/>
  <c r="F88" i="5"/>
  <c r="D142" i="5"/>
  <c r="G142" i="5" s="1"/>
  <c r="B143" i="5" s="1"/>
  <c r="E143" i="5" s="1"/>
  <c r="B89" i="4"/>
  <c r="C89" i="4"/>
  <c r="E51" i="1"/>
  <c r="B52" i="1" s="1"/>
  <c r="I112" i="5"/>
  <c r="G112" i="5"/>
  <c r="H112" i="5" s="1"/>
  <c r="B61" i="5"/>
  <c r="D61" i="5" s="1"/>
  <c r="C61" i="5"/>
  <c r="B150" i="4"/>
  <c r="C51" i="4"/>
  <c r="B51" i="4"/>
  <c r="B31" i="5"/>
  <c r="D31" i="5" s="1"/>
  <c r="C31" i="5"/>
  <c r="F28" i="4"/>
  <c r="G28" i="4" s="1"/>
  <c r="H28" i="4"/>
  <c r="I28" i="4"/>
  <c r="F51" i="1"/>
  <c r="I88" i="5" l="1"/>
  <c r="G88" i="5"/>
  <c r="H88" i="5" s="1"/>
  <c r="C143" i="5"/>
  <c r="E89" i="4"/>
  <c r="D89" i="4"/>
  <c r="I89" i="4" s="1"/>
  <c r="B113" i="5"/>
  <c r="D113" i="5" s="1"/>
  <c r="C113" i="5"/>
  <c r="E61" i="5"/>
  <c r="F61" i="5" s="1"/>
  <c r="D150" i="4"/>
  <c r="F150" i="4" s="1"/>
  <c r="E150" i="4"/>
  <c r="D51" i="4"/>
  <c r="I51" i="4" s="1"/>
  <c r="E51" i="4"/>
  <c r="E31" i="5"/>
  <c r="F31" i="5" s="1"/>
  <c r="B29" i="4"/>
  <c r="C29" i="4"/>
  <c r="D52" i="1"/>
  <c r="C52" i="1"/>
  <c r="E52" i="1" s="1"/>
  <c r="C89" i="5" l="1"/>
  <c r="B89" i="5"/>
  <c r="D89" i="5" s="1"/>
  <c r="F143" i="5"/>
  <c r="D143" i="5"/>
  <c r="G143" i="5" s="1"/>
  <c r="B144" i="5" s="1"/>
  <c r="E144" i="5" s="1"/>
  <c r="F89" i="4"/>
  <c r="G89" i="4" s="1"/>
  <c r="H89" i="4"/>
  <c r="E113" i="5"/>
  <c r="F113" i="5" s="1"/>
  <c r="G61" i="5"/>
  <c r="H61" i="5" s="1"/>
  <c r="I61" i="5"/>
  <c r="G150" i="4"/>
  <c r="C151" i="4" s="1"/>
  <c r="H150" i="4"/>
  <c r="I150" i="4"/>
  <c r="H51" i="4"/>
  <c r="F51" i="4"/>
  <c r="G51" i="4" s="1"/>
  <c r="G31" i="5"/>
  <c r="H31" i="5" s="1"/>
  <c r="I31" i="5"/>
  <c r="D29" i="4"/>
  <c r="E29" i="4"/>
  <c r="B53" i="1"/>
  <c r="F52" i="1"/>
  <c r="E89" i="5" l="1"/>
  <c r="F89" i="5"/>
  <c r="C144" i="5"/>
  <c r="B90" i="4"/>
  <c r="C90" i="4"/>
  <c r="I113" i="5"/>
  <c r="G113" i="5"/>
  <c r="H113" i="5" s="1"/>
  <c r="C62" i="5"/>
  <c r="B62" i="5"/>
  <c r="D62" i="5" s="1"/>
  <c r="B151" i="4"/>
  <c r="B52" i="4"/>
  <c r="C52" i="4"/>
  <c r="B32" i="5"/>
  <c r="D32" i="5" s="1"/>
  <c r="C32" i="5"/>
  <c r="E32" i="5" s="1"/>
  <c r="H29" i="4"/>
  <c r="I29" i="4"/>
  <c r="F29" i="4"/>
  <c r="G29" i="4" s="1"/>
  <c r="D53" i="1"/>
  <c r="C53" i="1"/>
  <c r="I89" i="5" l="1"/>
  <c r="G89" i="5"/>
  <c r="H89" i="5" s="1"/>
  <c r="F144" i="5"/>
  <c r="D144" i="5"/>
  <c r="G144" i="5" s="1"/>
  <c r="D90" i="4"/>
  <c r="I90" i="4" s="1"/>
  <c r="E90" i="4"/>
  <c r="E53" i="1"/>
  <c r="B54" i="1" s="1"/>
  <c r="C114" i="5"/>
  <c r="B114" i="5"/>
  <c r="D114" i="5" s="1"/>
  <c r="E62" i="5"/>
  <c r="F62" i="5" s="1"/>
  <c r="F32" i="5"/>
  <c r="I32" i="5" s="1"/>
  <c r="D151" i="4"/>
  <c r="F151" i="4" s="1"/>
  <c r="E151" i="4"/>
  <c r="D52" i="4"/>
  <c r="I52" i="4" s="1"/>
  <c r="E52" i="4"/>
  <c r="B30" i="4"/>
  <c r="C30" i="4"/>
  <c r="C90" i="5" l="1"/>
  <c r="B90" i="5"/>
  <c r="D90" i="5" s="1"/>
  <c r="H90" i="4"/>
  <c r="F90" i="4"/>
  <c r="G90" i="4" s="1"/>
  <c r="F53" i="1"/>
  <c r="E114" i="5"/>
  <c r="F114" i="5" s="1"/>
  <c r="G62" i="5"/>
  <c r="H62" i="5" s="1"/>
  <c r="I62" i="5"/>
  <c r="G32" i="5"/>
  <c r="H32" i="5" s="1"/>
  <c r="C33" i="5" s="1"/>
  <c r="E33" i="5" s="1"/>
  <c r="I151" i="4"/>
  <c r="H151" i="4"/>
  <c r="G151" i="4"/>
  <c r="C152" i="4" s="1"/>
  <c r="H52" i="4"/>
  <c r="F52" i="4"/>
  <c r="G52" i="4" s="1"/>
  <c r="E30" i="4"/>
  <c r="D30" i="4"/>
  <c r="D54" i="1"/>
  <c r="C54" i="1"/>
  <c r="E90" i="5" l="1"/>
  <c r="F90" i="5"/>
  <c r="B91" i="4"/>
  <c r="C91" i="4"/>
  <c r="I114" i="5"/>
  <c r="G114" i="5"/>
  <c r="H114" i="5" s="1"/>
  <c r="B63" i="5"/>
  <c r="D63" i="5" s="1"/>
  <c r="C63" i="5"/>
  <c r="E63" i="5" s="1"/>
  <c r="B33" i="5"/>
  <c r="D33" i="5" s="1"/>
  <c r="F33" i="5" s="1"/>
  <c r="G33" i="5" s="1"/>
  <c r="H33" i="5" s="1"/>
  <c r="B152" i="4"/>
  <c r="B53" i="4"/>
  <c r="C53" i="4"/>
  <c r="F30" i="4"/>
  <c r="G30" i="4" s="1"/>
  <c r="H30" i="4"/>
  <c r="I30" i="4"/>
  <c r="E54" i="1"/>
  <c r="F54" i="1" s="1"/>
  <c r="G90" i="5" l="1"/>
  <c r="H90" i="5" s="1"/>
  <c r="I90" i="5"/>
  <c r="E91" i="4"/>
  <c r="D91" i="4"/>
  <c r="I91" i="4" s="1"/>
  <c r="C115" i="5"/>
  <c r="B115" i="5"/>
  <c r="D115" i="5" s="1"/>
  <c r="F63" i="5"/>
  <c r="I33" i="5"/>
  <c r="D152" i="4"/>
  <c r="F152" i="4" s="1"/>
  <c r="E152" i="4"/>
  <c r="E53" i="4"/>
  <c r="D53" i="4"/>
  <c r="I53" i="4" s="1"/>
  <c r="B34" i="5"/>
  <c r="D34" i="5" s="1"/>
  <c r="C34" i="5"/>
  <c r="E34" i="5" s="1"/>
  <c r="C31" i="4"/>
  <c r="B31" i="4"/>
  <c r="C91" i="5" l="1"/>
  <c r="B91" i="5"/>
  <c r="D91" i="5" s="1"/>
  <c r="F91" i="4"/>
  <c r="G91" i="4" s="1"/>
  <c r="H91" i="4"/>
  <c r="E115" i="5"/>
  <c r="F115" i="5" s="1"/>
  <c r="I63" i="5"/>
  <c r="G63" i="5"/>
  <c r="H63" i="5" s="1"/>
  <c r="I152" i="4"/>
  <c r="H152" i="4"/>
  <c r="G152" i="4"/>
  <c r="C153" i="4" s="1"/>
  <c r="H53" i="4"/>
  <c r="F53" i="4"/>
  <c r="G53" i="4" s="1"/>
  <c r="F34" i="5"/>
  <c r="D31" i="4"/>
  <c r="E31" i="4"/>
  <c r="E91" i="5" l="1"/>
  <c r="F91" i="5" s="1"/>
  <c r="B92" i="4"/>
  <c r="C92" i="4"/>
  <c r="I115" i="5"/>
  <c r="G115" i="5"/>
  <c r="H115" i="5" s="1"/>
  <c r="B64" i="5"/>
  <c r="D64" i="5" s="1"/>
  <c r="C64" i="5"/>
  <c r="E64" i="5" s="1"/>
  <c r="B153" i="4"/>
  <c r="C54" i="4"/>
  <c r="B54" i="4"/>
  <c r="G34" i="5"/>
  <c r="H34" i="5" s="1"/>
  <c r="I34" i="5"/>
  <c r="H31" i="4"/>
  <c r="F31" i="4"/>
  <c r="G31" i="4" s="1"/>
  <c r="I31" i="4"/>
  <c r="I91" i="5" l="1"/>
  <c r="G91" i="5"/>
  <c r="H91" i="5" s="1"/>
  <c r="D92" i="4"/>
  <c r="I92" i="4" s="1"/>
  <c r="E92" i="4"/>
  <c r="C116" i="5"/>
  <c r="B116" i="5"/>
  <c r="D116" i="5" s="1"/>
  <c r="F64" i="5"/>
  <c r="G64" i="5" s="1"/>
  <c r="H64" i="5" s="1"/>
  <c r="D153" i="4"/>
  <c r="F153" i="4" s="1"/>
  <c r="E153" i="4"/>
  <c r="E54" i="4"/>
  <c r="D54" i="4"/>
  <c r="I54" i="4" s="1"/>
  <c r="B35" i="5"/>
  <c r="D35" i="5" s="1"/>
  <c r="C35" i="5"/>
  <c r="E35" i="5" s="1"/>
  <c r="B32" i="4"/>
  <c r="C32" i="4"/>
  <c r="C92" i="5" l="1"/>
  <c r="E92" i="5" s="1"/>
  <c r="B92" i="5"/>
  <c r="D92" i="5" s="1"/>
  <c r="F92" i="4"/>
  <c r="G92" i="4" s="1"/>
  <c r="H92" i="4"/>
  <c r="E116" i="5"/>
  <c r="F116" i="5" s="1"/>
  <c r="I64" i="5"/>
  <c r="B65" i="5"/>
  <c r="D65" i="5" s="1"/>
  <c r="C65" i="5"/>
  <c r="F35" i="5"/>
  <c r="G35" i="5" s="1"/>
  <c r="H35" i="5" s="1"/>
  <c r="B36" i="5" s="1"/>
  <c r="D36" i="5" s="1"/>
  <c r="G153" i="4"/>
  <c r="C154" i="4" s="1"/>
  <c r="H153" i="4"/>
  <c r="I153" i="4"/>
  <c r="H54" i="4"/>
  <c r="F54" i="4"/>
  <c r="G54" i="4" s="1"/>
  <c r="D32" i="4"/>
  <c r="E32" i="4"/>
  <c r="F92" i="5" l="1"/>
  <c r="B93" i="4"/>
  <c r="C93" i="4"/>
  <c r="G116" i="5"/>
  <c r="H116" i="5" s="1"/>
  <c r="I116" i="5"/>
  <c r="E65" i="5"/>
  <c r="F65" i="5" s="1"/>
  <c r="I35" i="5"/>
  <c r="C36" i="5"/>
  <c r="E36" i="5" s="1"/>
  <c r="F36" i="5" s="1"/>
  <c r="B154" i="4"/>
  <c r="C55" i="4"/>
  <c r="B55" i="4"/>
  <c r="H32" i="4"/>
  <c r="I32" i="4"/>
  <c r="F32" i="4"/>
  <c r="G32" i="4" s="1"/>
  <c r="I92" i="5" l="1"/>
  <c r="G92" i="5"/>
  <c r="H92" i="5" s="1"/>
  <c r="D93" i="4"/>
  <c r="I93" i="4" s="1"/>
  <c r="E93" i="4"/>
  <c r="C117" i="5"/>
  <c r="B117" i="5"/>
  <c r="D117" i="5" s="1"/>
  <c r="G65" i="5"/>
  <c r="H65" i="5" s="1"/>
  <c r="I65" i="5"/>
  <c r="D154" i="4"/>
  <c r="F154" i="4" s="1"/>
  <c r="E154" i="4"/>
  <c r="D55" i="4"/>
  <c r="I55" i="4" s="1"/>
  <c r="E55" i="4"/>
  <c r="G36" i="5"/>
  <c r="H36" i="5" s="1"/>
  <c r="I36" i="5"/>
  <c r="B33" i="4"/>
  <c r="C33" i="4"/>
  <c r="B93" i="5" l="1"/>
  <c r="D93" i="5" s="1"/>
  <c r="C93" i="5"/>
  <c r="E93" i="5" s="1"/>
  <c r="F93" i="5" s="1"/>
  <c r="H93" i="4"/>
  <c r="F93" i="4"/>
  <c r="G93" i="4" s="1"/>
  <c r="E117" i="5"/>
  <c r="F117" i="5" s="1"/>
  <c r="I93" i="5"/>
  <c r="G93" i="5"/>
  <c r="H93" i="5" s="1"/>
  <c r="B66" i="5"/>
  <c r="D66" i="5" s="1"/>
  <c r="C66" i="5"/>
  <c r="G154" i="4"/>
  <c r="C155" i="4" s="1"/>
  <c r="H154" i="4"/>
  <c r="I154" i="4"/>
  <c r="F55" i="4"/>
  <c r="G55" i="4" s="1"/>
  <c r="H55" i="4"/>
  <c r="B37" i="5"/>
  <c r="D37" i="5" s="1"/>
  <c r="C37" i="5"/>
  <c r="D33" i="4"/>
  <c r="E33" i="4"/>
  <c r="B94" i="4" l="1"/>
  <c r="C94" i="4"/>
  <c r="I117" i="5"/>
  <c r="G117" i="5"/>
  <c r="H117" i="5" s="1"/>
  <c r="C94" i="5"/>
  <c r="B94" i="5"/>
  <c r="D94" i="5" s="1"/>
  <c r="E66" i="5"/>
  <c r="F66" i="5" s="1"/>
  <c r="B155" i="4"/>
  <c r="B56" i="4"/>
  <c r="C56" i="4"/>
  <c r="E37" i="5"/>
  <c r="F37" i="5" s="1"/>
  <c r="F33" i="4"/>
  <c r="G33" i="4" s="1"/>
  <c r="I33" i="4"/>
  <c r="H33" i="4"/>
  <c r="D94" i="4" l="1"/>
  <c r="I94" i="4" s="1"/>
  <c r="E94" i="4"/>
  <c r="C118" i="5"/>
  <c r="B118" i="5"/>
  <c r="D118" i="5" s="1"/>
  <c r="E94" i="5"/>
  <c r="F94" i="5" s="1"/>
  <c r="I66" i="5"/>
  <c r="G66" i="5"/>
  <c r="H66" i="5" s="1"/>
  <c r="E155" i="4"/>
  <c r="D155" i="4"/>
  <c r="F155" i="4" s="1"/>
  <c r="D56" i="4"/>
  <c r="I56" i="4" s="1"/>
  <c r="E56" i="4"/>
  <c r="G37" i="5"/>
  <c r="H37" i="5" s="1"/>
  <c r="I37" i="5"/>
  <c r="B34" i="4"/>
  <c r="C34" i="4"/>
  <c r="G155" i="4" l="1"/>
  <c r="F94" i="4"/>
  <c r="G94" i="4" s="1"/>
  <c r="H94" i="4"/>
  <c r="E118" i="5"/>
  <c r="F118" i="5" s="1"/>
  <c r="I94" i="5"/>
  <c r="G94" i="5"/>
  <c r="H94" i="5" s="1"/>
  <c r="C156" i="4"/>
  <c r="H155" i="4"/>
  <c r="I155" i="4"/>
  <c r="F56" i="4"/>
  <c r="G56" i="4" s="1"/>
  <c r="B57" i="4" s="1"/>
  <c r="H56" i="4"/>
  <c r="B38" i="5"/>
  <c r="D38" i="5" s="1"/>
  <c r="C38" i="5"/>
  <c r="E34" i="4"/>
  <c r="D34" i="4"/>
  <c r="C95" i="4" l="1"/>
  <c r="B95" i="4"/>
  <c r="I118" i="5"/>
  <c r="G118" i="5"/>
  <c r="H118" i="5" s="1"/>
  <c r="B156" i="4"/>
  <c r="C57" i="4"/>
  <c r="E38" i="5"/>
  <c r="F38" i="5" s="1"/>
  <c r="F34" i="4"/>
  <c r="G34" i="4" s="1"/>
  <c r="H34" i="4"/>
  <c r="I34" i="4"/>
  <c r="D95" i="4" l="1"/>
  <c r="I95" i="4" s="1"/>
  <c r="E95" i="4"/>
  <c r="E156" i="4"/>
  <c r="D156" i="4"/>
  <c r="F156" i="4" s="1"/>
  <c r="D57" i="4"/>
  <c r="I57" i="4" s="1"/>
  <c r="E57" i="4"/>
  <c r="G38" i="5"/>
  <c r="H38" i="5" s="1"/>
  <c r="I38" i="5"/>
  <c r="B35" i="4"/>
  <c r="C35" i="4"/>
  <c r="G156" i="4" l="1"/>
  <c r="F95" i="4"/>
  <c r="G95" i="4" s="1"/>
  <c r="H95" i="4"/>
  <c r="H156" i="4"/>
  <c r="I156" i="4"/>
  <c r="H57" i="4"/>
  <c r="F57" i="4"/>
  <c r="G57" i="4" s="1"/>
  <c r="B39" i="5"/>
  <c r="D39" i="5" s="1"/>
  <c r="C39" i="5"/>
  <c r="D35" i="4"/>
  <c r="E35" i="4"/>
  <c r="B58" i="4" l="1"/>
  <c r="E58" i="4" s="1"/>
  <c r="C58" i="4"/>
  <c r="E39" i="5"/>
  <c r="F39" i="5" s="1"/>
  <c r="H35" i="4"/>
  <c r="I35" i="4"/>
  <c r="F35" i="4"/>
  <c r="G35" i="4" s="1"/>
  <c r="D58" i="4" l="1"/>
  <c r="I58" i="4"/>
  <c r="H58" i="4"/>
  <c r="F58" i="4"/>
  <c r="G58" i="4" s="1"/>
  <c r="G39" i="5"/>
  <c r="H39" i="5" s="1"/>
  <c r="I39" i="5"/>
  <c r="C59" i="4" l="1"/>
  <c r="B59" i="4"/>
  <c r="B40" i="5"/>
  <c r="D40" i="5" s="1"/>
  <c r="C40" i="5"/>
  <c r="D59" i="4" l="1"/>
  <c r="E59" i="4"/>
  <c r="E40" i="5"/>
  <c r="F40" i="5" s="1"/>
  <c r="I59" i="4" l="1"/>
  <c r="H59" i="4"/>
  <c r="F59" i="4"/>
  <c r="G59" i="4" s="1"/>
  <c r="G40" i="5"/>
  <c r="H40" i="5" s="1"/>
  <c r="I40" i="5"/>
  <c r="B60" i="4" l="1"/>
  <c r="C60" i="4"/>
  <c r="B41" i="5"/>
  <c r="D41" i="5" s="1"/>
  <c r="C41" i="5"/>
  <c r="D60" i="4" l="1"/>
  <c r="E60" i="4"/>
  <c r="E41" i="5"/>
  <c r="F41" i="5" s="1"/>
  <c r="I60" i="4" l="1"/>
  <c r="H60" i="4"/>
  <c r="F60" i="4"/>
  <c r="G60" i="4" s="1"/>
  <c r="G41" i="5"/>
  <c r="H41" i="5" s="1"/>
  <c r="I41" i="5"/>
  <c r="B61" i="4" l="1"/>
  <c r="C61" i="4"/>
  <c r="B42" i="5"/>
  <c r="D42" i="5" s="1"/>
  <c r="C42" i="5"/>
  <c r="E61" i="4" l="1"/>
  <c r="D61" i="4"/>
  <c r="E42" i="5"/>
  <c r="F42" i="5" s="1"/>
  <c r="I61" i="4" l="1"/>
  <c r="F61" i="4"/>
  <c r="H61" i="4"/>
  <c r="G61" i="4"/>
  <c r="G42" i="5"/>
  <c r="H42" i="5" s="1"/>
  <c r="I42" i="5"/>
  <c r="B62" i="4" l="1"/>
  <c r="C62" i="4"/>
  <c r="C43" i="5"/>
  <c r="B43" i="5"/>
  <c r="D43" i="5" s="1"/>
  <c r="D62" i="4" l="1"/>
  <c r="E62" i="4"/>
  <c r="E43" i="5"/>
  <c r="F43" i="5" s="1"/>
  <c r="I62" i="4" l="1"/>
  <c r="H62" i="4"/>
  <c r="F62" i="4"/>
  <c r="G62" i="4" s="1"/>
  <c r="G43" i="5"/>
  <c r="H43" i="5" s="1"/>
  <c r="I43" i="5"/>
  <c r="C63" i="4" l="1"/>
  <c r="B63" i="4"/>
  <c r="D63" i="4" l="1"/>
  <c r="E63" i="4"/>
  <c r="I63" i="4" l="1"/>
  <c r="F63" i="4"/>
  <c r="G63" i="4" s="1"/>
  <c r="H63" i="4"/>
  <c r="B64" i="4" l="1"/>
  <c r="C64" i="4"/>
  <c r="D64" i="4" l="1"/>
  <c r="E64" i="4"/>
  <c r="F64" i="4" l="1"/>
  <c r="G64" i="4" s="1"/>
  <c r="I64" i="4"/>
  <c r="H64" i="4"/>
</calcChain>
</file>

<file path=xl/sharedStrings.xml><?xml version="1.0" encoding="utf-8"?>
<sst xmlns="http://schemas.openxmlformats.org/spreadsheetml/2006/main" count="314" uniqueCount="101">
  <si>
    <t>MÉTODO DE NEWTON–RAPHSON</t>
  </si>
  <si>
    <t>PASOS</t>
  </si>
  <si>
    <t>DESCRIPCIÓN</t>
  </si>
  <si>
    <t>Definir f(x) y su derivada f'(x)</t>
  </si>
  <si>
    <t>Seleccionar valor inicial X₀</t>
  </si>
  <si>
    <t>Calcular la siguiente aproximación: X(n+1) = Xn - f(Xn) / f'(Xn)</t>
  </si>
  <si>
    <t>Iterar repitiendo el paso 3</t>
  </si>
  <si>
    <t xml:space="preserve">Criterio de paro: parar cuando |Xn+1-Xn|&lt; tolerancia </t>
  </si>
  <si>
    <t>iteracion</t>
  </si>
  <si>
    <t>xi</t>
  </si>
  <si>
    <t>f(xi)</t>
  </si>
  <si>
    <t>f´(xi)</t>
  </si>
  <si>
    <t>xi+1</t>
  </si>
  <si>
    <t>Error</t>
  </si>
  <si>
    <t>x</t>
  </si>
  <si>
    <t>f(x)</t>
  </si>
  <si>
    <t>Item</t>
  </si>
  <si>
    <t>x0</t>
  </si>
  <si>
    <t>f(x0)</t>
  </si>
  <si>
    <t>f´(x0)</t>
  </si>
  <si>
    <t>Newton</t>
  </si>
  <si>
    <t xml:space="preserve">MÉTODO DE LA SECANTE </t>
  </si>
  <si>
    <t>n</t>
  </si>
  <si>
    <t>Xi-1</t>
  </si>
  <si>
    <t>Xi</t>
  </si>
  <si>
    <t>f(Xi)</t>
  </si>
  <si>
    <t>f(Xi-1)</t>
  </si>
  <si>
    <t>Xi+1</t>
  </si>
  <si>
    <t>er%</t>
  </si>
  <si>
    <t>euler</t>
  </si>
  <si>
    <t>X</t>
  </si>
  <si>
    <t>Definir f(x)</t>
  </si>
  <si>
    <t>Seleccionar dos valores iniciales Xi y Xi-1</t>
  </si>
  <si>
    <t>Calcular la siguiente aproximación: Xi+1 = Xi - f(Xi) * (Xi-1 - Xi) / (f(Xi-1) - f(Xi))</t>
  </si>
  <si>
    <t>MÉTODO DE BISECCIÓN</t>
  </si>
  <si>
    <t xml:space="preserve">Definir f(x) </t>
  </si>
  <si>
    <t>Calcular el punto medio c= a+b/2</t>
  </si>
  <si>
    <t>Seleccionar el intervalo inicial [a,b], tal que f(a)* f(b) &lt; 0</t>
  </si>
  <si>
    <t>Determinar el nuevo intervalo: si  f(a)* f(b)&lt; 0 = [a,b], si  f(c)* f(b)&lt; 0 = [c,b], si  f(c)=0: Raíz exacta</t>
  </si>
  <si>
    <t>Verificar Tolerancia</t>
  </si>
  <si>
    <t>Iterar desde el paso 3</t>
  </si>
  <si>
    <t xml:space="preserve">  </t>
  </si>
  <si>
    <t>a</t>
  </si>
  <si>
    <t>b</t>
  </si>
  <si>
    <t>c= a+b/2</t>
  </si>
  <si>
    <t>f(a)</t>
  </si>
  <si>
    <t>f(c)</t>
  </si>
  <si>
    <t>f(a)*f(c)</t>
  </si>
  <si>
    <t>E(a)%</t>
  </si>
  <si>
    <t>E(t)</t>
  </si>
  <si>
    <t>c</t>
  </si>
  <si>
    <t xml:space="preserve">Elegir como raiz aproximado aquel valor que cumple el criterio de paro f(c)=0 o  E(a)%&lt; tolerancia </t>
  </si>
  <si>
    <t>Calcular error aproximado E(a)% y error verdadero E(t)</t>
  </si>
  <si>
    <t>MÉTODO DE FALSA POSICIÓN</t>
  </si>
  <si>
    <t>Seleccionar dos valores iniciales [a,b], tal que f(a)*f(b)&lt;0</t>
  </si>
  <si>
    <t>calcular el punto de falsa posición c = b - f(b)(b-a)/f(b)-f(a)</t>
  </si>
  <si>
    <t>evaluar la funcion en el punto c</t>
  </si>
  <si>
    <t>iteración</t>
  </si>
  <si>
    <t>f(b)</t>
  </si>
  <si>
    <t xml:space="preserve"> c = b - f(b)(b-a)/f(b)-f(a)</t>
  </si>
  <si>
    <t xml:space="preserve">f(a)*f(c) </t>
  </si>
  <si>
    <t>Ea(%)</t>
  </si>
  <si>
    <t>Iteracion</t>
  </si>
  <si>
    <t>Funcion ejemplo</t>
  </si>
  <si>
    <t>f(x) = x^2 - 4</t>
  </si>
  <si>
    <t>f(x) = x^2 - 3</t>
  </si>
  <si>
    <t>SPRINT BACKLOG - PROBLEMARIO MÉTODOS NUMÉRICOS</t>
  </si>
  <si>
    <t>#</t>
  </si>
  <si>
    <t>Tarea</t>
  </si>
  <si>
    <t>Responsable</t>
  </si>
  <si>
    <t>Estado</t>
  </si>
  <si>
    <t>Prioridad</t>
  </si>
  <si>
    <t>Horas</t>
  </si>
  <si>
    <t>Newton Raphson – 5 ejercicios Excel</t>
  </si>
  <si>
    <t>Ariana Aguilar</t>
  </si>
  <si>
    <t>En curso</t>
  </si>
  <si>
    <t>Alta</t>
  </si>
  <si>
    <t>Método de la Secante – 5 ejercicios Excel</t>
  </si>
  <si>
    <t>Fátima Arellano</t>
  </si>
  <si>
    <t>Método de Bisección – 5 ejercicios Excel</t>
  </si>
  <si>
    <t>Gerardo Rodríguez</t>
  </si>
  <si>
    <t>Método de Falsa Posición – 5 ejercicios Excel</t>
  </si>
  <si>
    <t>Cristhian Bernardo</t>
  </si>
  <si>
    <t>Ejercicios completos – Comparativa 5 métodos (Excel)</t>
  </si>
  <si>
    <t>Todos</t>
  </si>
  <si>
    <t>Trabajo en Equipo – Dinámica de conformación</t>
  </si>
  <si>
    <t>Hecho</t>
  </si>
  <si>
    <t>Proceso no vistos en clase</t>
  </si>
  <si>
    <t>Qué hacer</t>
  </si>
  <si>
    <t>Media</t>
  </si>
  <si>
    <t>Formato – Casos de prueba</t>
  </si>
  <si>
    <t>IA: Operaciones matemáticas</t>
  </si>
  <si>
    <t>Trabajo autorregulado</t>
  </si>
  <si>
    <t>Baja</t>
  </si>
  <si>
    <t>M: Diseño</t>
  </si>
  <si>
    <t>Organización: estructura del reporte</t>
  </si>
  <si>
    <t>Ortografía</t>
  </si>
  <si>
    <t>Contenido: CASO de prueba</t>
  </si>
  <si>
    <t>USO DE LA IA</t>
  </si>
  <si>
    <t>Antología en GITHUB</t>
  </si>
  <si>
    <t>Entrega final en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</si>
</sst>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color rgb="FFFFFFFF"/>
      <name val="Cambria"/>
      <charset val="1"/>
    </font>
    <font>
      <b/>
      <sz val="11"/>
      <color rgb="FFFFFFFF"/>
      <name val="Cambria"/>
      <charset val="1"/>
    </font>
  </fonts>
  <fills count="2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03864"/>
        <bgColor rgb="FF333333"/>
      </patternFill>
    </fill>
    <fill>
      <patternFill patternType="solid">
        <fgColor rgb="FF5B9BD5"/>
        <bgColor rgb="FF969696"/>
      </patternFill>
    </fill>
    <fill>
      <patternFill patternType="solid">
        <fgColor rgb="FFFFB366"/>
      </patternFill>
    </fill>
    <fill>
      <patternFill patternType="solid">
        <fgColor rgb="FFA8D5BA"/>
      </patternFill>
    </fill>
    <fill>
      <patternFill patternType="solid">
        <fgColor rgb="FFFFB3BA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2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1" fillId="3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/>
    <xf numFmtId="0" fontId="0" fillId="3" borderId="2" xfId="0" applyFill="1" applyBorder="1"/>
    <xf numFmtId="0" fontId="0" fillId="4" borderId="2" xfId="0" applyFill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7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4" borderId="2" xfId="0" applyFill="1" applyBorder="1"/>
    <xf numFmtId="0" fontId="0" fillId="14" borderId="2" xfId="0" applyFill="1" applyBorder="1" applyAlignment="1">
      <alignment horizontal="center"/>
    </xf>
    <xf numFmtId="0" fontId="0" fillId="2" borderId="0" xfId="0" applyFill="1"/>
    <xf numFmtId="0" fontId="4" fillId="15" borderId="2" xfId="0" applyFont="1" applyFill="1" applyBorder="1"/>
    <xf numFmtId="0" fontId="5" fillId="16" borderId="0" xfId="0" applyFont="1" applyFill="1" applyAlignment="1">
      <alignment horizontal="center" vertical="center"/>
    </xf>
    <xf numFmtId="0" fontId="0" fillId="0" borderId="0" xfId="0"/>
    <xf numFmtId="0" fontId="6" fillId="17" borderId="7" xfId="0" applyFont="1" applyFill="1" applyBorder="1" applyAlignment="1">
      <alignment horizontal="center" vertical="center"/>
    </xf>
    <xf numFmtId="0" fontId="0" fillId="18" borderId="2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2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  <color rgb="FF00FF99"/>
      <color rgb="FF0000FF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[1]Hoja1!$K$3:$K$22</c:f>
              <c:numCache>
                <c:formatCode>General</c:formatCode>
                <c:ptCount val="20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</c:numCache>
            </c:numRef>
          </c:xVal>
          <c:yVal>
            <c:numRef>
              <c:f>[1]Hoja1!$L$3:$L$22</c:f>
              <c:numCache>
                <c:formatCode>General</c:formatCode>
                <c:ptCount val="20"/>
                <c:pt idx="0">
                  <c:v>-0.68294196961579301</c:v>
                </c:pt>
                <c:pt idx="1">
                  <c:v>-0.66665381925496681</c:v>
                </c:pt>
                <c:pt idx="2">
                  <c:v>-0.63471218179904554</c:v>
                </c:pt>
                <c:pt idx="3">
                  <c:v>-0.58843537447538208</c:v>
                </c:pt>
                <c:pt idx="4">
                  <c:v>-0.52928494679007076</c:v>
                </c:pt>
                <c:pt idx="5">
                  <c:v>-0.45885107720840601</c:v>
                </c:pt>
                <c:pt idx="6">
                  <c:v>-0.37883668461730102</c:v>
                </c:pt>
                <c:pt idx="7">
                  <c:v>-0.2910404133226791</c:v>
                </c:pt>
                <c:pt idx="8">
                  <c:v>-0.19733866159012242</c:v>
                </c:pt>
                <c:pt idx="9">
                  <c:v>-9.9666833293656304E-2</c:v>
                </c:pt>
                <c:pt idx="10">
                  <c:v>0</c:v>
                </c:pt>
                <c:pt idx="11">
                  <c:v>9.9666833293656304E-2</c:v>
                </c:pt>
                <c:pt idx="12">
                  <c:v>0.19733866159012242</c:v>
                </c:pt>
                <c:pt idx="13">
                  <c:v>0.2910404133226791</c:v>
                </c:pt>
                <c:pt idx="14">
                  <c:v>0.37883668461730102</c:v>
                </c:pt>
                <c:pt idx="15">
                  <c:v>0.45885107720840601</c:v>
                </c:pt>
                <c:pt idx="16">
                  <c:v>0.52928494679007076</c:v>
                </c:pt>
                <c:pt idx="17">
                  <c:v>0.58843537447538208</c:v>
                </c:pt>
                <c:pt idx="18">
                  <c:v>0.63471218179904554</c:v>
                </c:pt>
                <c:pt idx="19">
                  <c:v>0.66665381925496681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0E-4841-AA45-CFCD68AA6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314591"/>
        <c:axId val="1980315071"/>
      </c:scatterChart>
      <c:valAx>
        <c:axId val="198031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0315071"/>
        <c:crosses val="autoZero"/>
        <c:crossBetween val="midCat"/>
      </c:valAx>
      <c:valAx>
        <c:axId val="19803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031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[1]Hoja1!$K$29:$K$56</c:f>
              <c:numCache>
                <c:formatCode>General</c:formatCode>
                <c:ptCount val="2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xVal>
          <c:yVal>
            <c:numRef>
              <c:f>[1]Hoja1!$L$29:$L$56</c:f>
              <c:numCache>
                <c:formatCode>General</c:formatCode>
                <c:ptCount val="28"/>
                <c:pt idx="0">
                  <c:v>-19</c:v>
                </c:pt>
                <c:pt idx="1">
                  <c:v>-19.059998100000001</c:v>
                </c:pt>
                <c:pt idx="2">
                  <c:v>-19.239756799999999</c:v>
                </c:pt>
                <c:pt idx="3">
                  <c:v>-19.535844699999998</c:v>
                </c:pt>
                <c:pt idx="4">
                  <c:v>-19.928870400000001</c:v>
                </c:pt>
                <c:pt idx="5">
                  <c:v>-20.3515625</c:v>
                </c:pt>
                <c:pt idx="6">
                  <c:v>-20.6281216</c:v>
                </c:pt>
                <c:pt idx="7">
                  <c:v>-20.375268300000002</c:v>
                </c:pt>
                <c:pt idx="8">
                  <c:v>-18.855411199999999</c:v>
                </c:pt>
                <c:pt idx="9">
                  <c:v>-14.772358899999997</c:v>
                </c:pt>
                <c:pt idx="10">
                  <c:v>-6</c:v>
                </c:pt>
                <c:pt idx="11">
                  <c:v>10.765624900000024</c:v>
                </c:pt>
                <c:pt idx="12">
                  <c:v>40.440435199999996</c:v>
                </c:pt>
                <c:pt idx="13">
                  <c:v>90.082182300000056</c:v>
                </c:pt>
                <c:pt idx="14">
                  <c:v>169.52565759999987</c:v>
                </c:pt>
                <c:pt idx="15">
                  <c:v>292.1328125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EA-4F92-BAAA-693C88B85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736095"/>
        <c:axId val="1810737535"/>
      </c:scatterChart>
      <c:valAx>
        <c:axId val="181073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0737535"/>
        <c:crosses val="autoZero"/>
        <c:crossBetween val="midCat"/>
      </c:valAx>
      <c:valAx>
        <c:axId val="18107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073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[1]Hoja1!$L$59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[1]Hoja1!$K$60:$K$76</c:f>
              <c:numCache>
                <c:formatCode>General</c:formatCode>
                <c:ptCount val="1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</c:numCache>
            </c:numRef>
          </c:xVal>
          <c:yVal>
            <c:numRef>
              <c:f>[1]Hoja1!$L$60:$L$76</c:f>
              <c:numCache>
                <c:formatCode>General</c:formatCode>
                <c:ptCount val="17"/>
                <c:pt idx="0">
                  <c:v>-20</c:v>
                </c:pt>
                <c:pt idx="1">
                  <c:v>-18.978999999999999</c:v>
                </c:pt>
                <c:pt idx="2">
                  <c:v>-17.911999999999999</c:v>
                </c:pt>
                <c:pt idx="3">
                  <c:v>-16.792999999999999</c:v>
                </c:pt>
                <c:pt idx="4">
                  <c:v>-15.616</c:v>
                </c:pt>
                <c:pt idx="5">
                  <c:v>-14.375</c:v>
                </c:pt>
                <c:pt idx="6">
                  <c:v>-13.064</c:v>
                </c:pt>
                <c:pt idx="7">
                  <c:v>-11.677</c:v>
                </c:pt>
                <c:pt idx="8">
                  <c:v>-10.208</c:v>
                </c:pt>
                <c:pt idx="9">
                  <c:v>-8.6509999999999998</c:v>
                </c:pt>
                <c:pt idx="10">
                  <c:v>-7</c:v>
                </c:pt>
                <c:pt idx="11">
                  <c:v>-5.2489999999999988</c:v>
                </c:pt>
                <c:pt idx="12">
                  <c:v>-3.3919999999999995</c:v>
                </c:pt>
                <c:pt idx="13">
                  <c:v>-1.4229999999999983</c:v>
                </c:pt>
                <c:pt idx="14">
                  <c:v>0.66399999999999793</c:v>
                </c:pt>
                <c:pt idx="15">
                  <c:v>2.875</c:v>
                </c:pt>
                <c:pt idx="16">
                  <c:v>5.2160000000000011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B5-4DBD-8F7D-7036A77BF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37327"/>
        <c:axId val="1978138287"/>
      </c:scatterChart>
      <c:valAx>
        <c:axId val="197813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8138287"/>
        <c:crosses val="autoZero"/>
        <c:crossBetween val="midCat"/>
      </c:valAx>
      <c:valAx>
        <c:axId val="197813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813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[1]Hoja1!$L$80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[1]Hoja1!$K$81:$K$91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[1]Hoja1!$L$81:$L$91</c:f>
              <c:numCache>
                <c:formatCode>General</c:formatCode>
                <c:ptCount val="11"/>
                <c:pt idx="0">
                  <c:v>-1</c:v>
                </c:pt>
                <c:pt idx="1">
                  <c:v>-1.1919999999999999</c:v>
                </c:pt>
                <c:pt idx="2">
                  <c:v>-1.3360000000000001</c:v>
                </c:pt>
                <c:pt idx="3">
                  <c:v>-1.3839999999999999</c:v>
                </c:pt>
                <c:pt idx="4">
                  <c:v>-1.2879999999999998</c:v>
                </c:pt>
                <c:pt idx="5">
                  <c:v>-1</c:v>
                </c:pt>
                <c:pt idx="6">
                  <c:v>-0.47199999999999998</c:v>
                </c:pt>
                <c:pt idx="7">
                  <c:v>0.34399999999999942</c:v>
                </c:pt>
                <c:pt idx="8">
                  <c:v>1.4960000000000009</c:v>
                </c:pt>
                <c:pt idx="9">
                  <c:v>3.0320000000000009</c:v>
                </c:pt>
                <c:pt idx="1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6-4822-8BEC-719ECA687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345407"/>
        <c:axId val="1971165999"/>
      </c:scatterChart>
      <c:valAx>
        <c:axId val="198134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165999"/>
        <c:crosses val="autoZero"/>
        <c:crossBetween val="midCat"/>
      </c:valAx>
      <c:valAx>
        <c:axId val="19711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134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Newton Raphson'!$J$82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Newton Raphson'!$I$83:$I$99</c:f>
              <c:numCache>
                <c:formatCode>General</c:formatCode>
                <c:ptCount val="1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</c:numCache>
            </c:numRef>
          </c:xVal>
          <c:yVal>
            <c:numRef>
              <c:f>'Método de Newton Raphson'!$J$83:$J$99</c:f>
              <c:numCache>
                <c:formatCode>General</c:formatCode>
                <c:ptCount val="17"/>
                <c:pt idx="0">
                  <c:v>-20</c:v>
                </c:pt>
                <c:pt idx="1">
                  <c:v>-19.489999999999998</c:v>
                </c:pt>
                <c:pt idx="2">
                  <c:v>-18.96</c:v>
                </c:pt>
                <c:pt idx="3">
                  <c:v>-18.41</c:v>
                </c:pt>
                <c:pt idx="4">
                  <c:v>-17.84</c:v>
                </c:pt>
                <c:pt idx="5">
                  <c:v>-17.25</c:v>
                </c:pt>
                <c:pt idx="6">
                  <c:v>-16.64</c:v>
                </c:pt>
                <c:pt idx="7">
                  <c:v>-16.010000000000002</c:v>
                </c:pt>
                <c:pt idx="8">
                  <c:v>-15.36</c:v>
                </c:pt>
                <c:pt idx="9">
                  <c:v>-14.69</c:v>
                </c:pt>
                <c:pt idx="10">
                  <c:v>-14</c:v>
                </c:pt>
                <c:pt idx="11">
                  <c:v>-13.29</c:v>
                </c:pt>
                <c:pt idx="12">
                  <c:v>-12.56</c:v>
                </c:pt>
                <c:pt idx="13">
                  <c:v>-11.81</c:v>
                </c:pt>
                <c:pt idx="14">
                  <c:v>-11.040000000000001</c:v>
                </c:pt>
                <c:pt idx="15">
                  <c:v>-10.25</c:v>
                </c:pt>
                <c:pt idx="16">
                  <c:v>-9.44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3B-48BD-967C-2C5448894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933664"/>
        <c:axId val="1543930304"/>
      </c:scatterChart>
      <c:valAx>
        <c:axId val="154393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3930304"/>
        <c:crosses val="autoZero"/>
        <c:crossBetween val="midCat"/>
      </c:valAx>
      <c:valAx>
        <c:axId val="154393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393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la secante'!$K$15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la secante'!$J$16:$J$30</c:f>
              <c:numCache>
                <c:formatCode>General</c:formatCode>
                <c:ptCount val="15"/>
                <c:pt idx="0">
                  <c:v>-1</c:v>
                </c:pt>
                <c:pt idx="1">
                  <c:v>-0.5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</c:numCache>
            </c:numRef>
          </c:xVal>
          <c:yVal>
            <c:numRef>
              <c:f>'Método de la secante'!$K$16:$K$30</c:f>
              <c:numCache>
                <c:formatCode>General</c:formatCode>
                <c:ptCount val="15"/>
                <c:pt idx="0">
                  <c:v>3.7182818284590451</c:v>
                </c:pt>
                <c:pt idx="1">
                  <c:v>2.1487212707001282</c:v>
                </c:pt>
                <c:pt idx="2">
                  <c:v>1</c:v>
                </c:pt>
                <c:pt idx="3">
                  <c:v>0.80483741803595954</c:v>
                </c:pt>
                <c:pt idx="4">
                  <c:v>0.61873075307798175</c:v>
                </c:pt>
                <c:pt idx="5">
                  <c:v>0.44081822068171789</c:v>
                </c:pt>
                <c:pt idx="6">
                  <c:v>0.27032004603563931</c:v>
                </c:pt>
                <c:pt idx="7">
                  <c:v>0.10653065971263342</c:v>
                </c:pt>
                <c:pt idx="8">
                  <c:v>-5.1188363905973477E-2</c:v>
                </c:pt>
                <c:pt idx="9">
                  <c:v>-0.20341469620859048</c:v>
                </c:pt>
                <c:pt idx="10">
                  <c:v>-0.35067103588277848</c:v>
                </c:pt>
                <c:pt idx="11">
                  <c:v>-0.49343034025940097</c:v>
                </c:pt>
                <c:pt idx="12">
                  <c:v>-0.63212055882855767</c:v>
                </c:pt>
                <c:pt idx="13">
                  <c:v>-1.2768698398515701</c:v>
                </c:pt>
                <c:pt idx="14">
                  <c:v>-1.8646647167633872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F7-4F40-A250-A60B7A104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056272"/>
        <c:axId val="1223506352"/>
      </c:scatterChart>
      <c:valAx>
        <c:axId val="121705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23506352"/>
        <c:crosses val="autoZero"/>
        <c:crossBetween val="midCat"/>
      </c:valAx>
      <c:valAx>
        <c:axId val="12235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705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la secante'!$K$34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la secante'!$J$35:$J$41</c:f>
              <c:numCache>
                <c:formatCode>General</c:formatCode>
                <c:ptCount val="7"/>
                <c:pt idx="0">
                  <c:v>-0.5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2</c:v>
                </c:pt>
              </c:numCache>
            </c:numRef>
          </c:xVal>
          <c:yVal>
            <c:numRef>
              <c:f>'Método de la secante'!$K$35:$K$41</c:f>
              <c:numCache>
                <c:formatCode>General</c:formatCode>
                <c:ptCount val="7"/>
                <c:pt idx="0">
                  <c:v>3.5</c:v>
                </c:pt>
                <c:pt idx="1">
                  <c:v>0</c:v>
                </c:pt>
                <c:pt idx="2">
                  <c:v>-1.5</c:v>
                </c:pt>
                <c:pt idx="3">
                  <c:v>-1</c:v>
                </c:pt>
                <c:pt idx="4">
                  <c:v>0</c:v>
                </c:pt>
                <c:pt idx="5">
                  <c:v>1.5</c:v>
                </c:pt>
                <c:pt idx="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8C-4667-B76F-8FF6347B9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558560"/>
        <c:axId val="925559520"/>
      </c:scatterChart>
      <c:valAx>
        <c:axId val="92555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5559520"/>
        <c:crosses val="autoZero"/>
        <c:crossBetween val="midCat"/>
      </c:valAx>
      <c:valAx>
        <c:axId val="92555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555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la secante'!$K$51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la secante'!$J$52:$J$61</c:f>
              <c:numCache>
                <c:formatCode>General</c:formatCode>
                <c:ptCount val="10"/>
                <c:pt idx="0">
                  <c:v>-0.5</c:v>
                </c:pt>
                <c:pt idx="1">
                  <c:v>0</c:v>
                </c:pt>
                <c:pt idx="2">
                  <c:v>0.1</c:v>
                </c:pt>
                <c:pt idx="3">
                  <c:v>0.15</c:v>
                </c:pt>
                <c:pt idx="4">
                  <c:v>0.18</c:v>
                </c:pt>
                <c:pt idx="5">
                  <c:v>0.2</c:v>
                </c:pt>
                <c:pt idx="6">
                  <c:v>0.20100000000000001</c:v>
                </c:pt>
                <c:pt idx="7">
                  <c:v>0.20200000000000001</c:v>
                </c:pt>
                <c:pt idx="8">
                  <c:v>0.25</c:v>
                </c:pt>
                <c:pt idx="9">
                  <c:v>0.5</c:v>
                </c:pt>
              </c:numCache>
            </c:numRef>
          </c:xVal>
          <c:yVal>
            <c:numRef>
              <c:f>'Método de la secante'!$K$52:$K$61</c:f>
              <c:numCache>
                <c:formatCode>General</c:formatCode>
                <c:ptCount val="10"/>
                <c:pt idx="0">
                  <c:v>3.375</c:v>
                </c:pt>
                <c:pt idx="1">
                  <c:v>1</c:v>
                </c:pt>
                <c:pt idx="2">
                  <c:v>0.501</c:v>
                </c:pt>
                <c:pt idx="3">
                  <c:v>0.25337500000000002</c:v>
                </c:pt>
                <c:pt idx="4">
                  <c:v>0.10583200000000004</c:v>
                </c:pt>
                <c:pt idx="5">
                  <c:v>8.0000000000000071E-3</c:v>
                </c:pt>
                <c:pt idx="6">
                  <c:v>3.1206009999998896E-3</c:v>
                </c:pt>
                <c:pt idx="7">
                  <c:v>-1.757591999999919E-3</c:v>
                </c:pt>
                <c:pt idx="8">
                  <c:v>-0.234375</c:v>
                </c:pt>
                <c:pt idx="9">
                  <c:v>-1.375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39-4432-AB6D-1F8DE726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554288"/>
        <c:axId val="1341553808"/>
      </c:scatterChart>
      <c:valAx>
        <c:axId val="134155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41553808"/>
        <c:crosses val="autoZero"/>
        <c:crossBetween val="midCat"/>
      </c:valAx>
      <c:valAx>
        <c:axId val="13415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4155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la secante'!$K$67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la secante'!$J$68:$J$77</c:f>
              <c:numCache>
                <c:formatCode>General</c:formatCode>
                <c:ptCount val="10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2.0499999999999998</c:v>
                </c:pt>
                <c:pt idx="4">
                  <c:v>2.09</c:v>
                </c:pt>
                <c:pt idx="5">
                  <c:v>2.0939999999999999</c:v>
                </c:pt>
                <c:pt idx="6">
                  <c:v>2.0950000000000002</c:v>
                </c:pt>
                <c:pt idx="7">
                  <c:v>2.1</c:v>
                </c:pt>
                <c:pt idx="8">
                  <c:v>2.2000000000000002</c:v>
                </c:pt>
                <c:pt idx="9">
                  <c:v>2.5</c:v>
                </c:pt>
              </c:numCache>
            </c:numRef>
          </c:xVal>
          <c:yVal>
            <c:numRef>
              <c:f>'Método de la secante'!$K$68:$K$77</c:f>
              <c:numCache>
                <c:formatCode>General</c:formatCode>
                <c:ptCount val="10"/>
                <c:pt idx="0">
                  <c:v>-4.625</c:v>
                </c:pt>
                <c:pt idx="1">
                  <c:v>-2.7679999999999993</c:v>
                </c:pt>
                <c:pt idx="2">
                  <c:v>-1</c:v>
                </c:pt>
                <c:pt idx="3">
                  <c:v>-0.48487500000000061</c:v>
                </c:pt>
                <c:pt idx="4">
                  <c:v>-5.0671000000001243E-2</c:v>
                </c:pt>
                <c:pt idx="5">
                  <c:v>-6.1534160000027427E-3</c:v>
                </c:pt>
                <c:pt idx="6">
                  <c:v>5.0073750000025896E-3</c:v>
                </c:pt>
                <c:pt idx="7">
                  <c:v>6.1000000000000831E-2</c:v>
                </c:pt>
                <c:pt idx="8">
                  <c:v>1.2480000000000029</c:v>
                </c:pt>
                <c:pt idx="9">
                  <c:v>5.625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E9-4311-8ADA-2423E25A2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750288"/>
        <c:axId val="1330751248"/>
      </c:scatterChart>
      <c:valAx>
        <c:axId val="133075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0751248"/>
        <c:crosses val="autoZero"/>
        <c:crossBetween val="midCat"/>
      </c:valAx>
      <c:valAx>
        <c:axId val="133075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075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la secante'!$K$90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la secante'!$J$91:$J$100</c:f>
              <c:numCache>
                <c:formatCode>General</c:formatCode>
                <c:ptCount val="10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2.0499999999999998</c:v>
                </c:pt>
                <c:pt idx="4">
                  <c:v>2.09</c:v>
                </c:pt>
                <c:pt idx="5">
                  <c:v>2.0939999999999999</c:v>
                </c:pt>
                <c:pt idx="6">
                  <c:v>2.0950000000000002</c:v>
                </c:pt>
                <c:pt idx="7">
                  <c:v>2.1</c:v>
                </c:pt>
                <c:pt idx="8">
                  <c:v>2.2000000000000002</c:v>
                </c:pt>
                <c:pt idx="9">
                  <c:v>2.5</c:v>
                </c:pt>
              </c:numCache>
            </c:numRef>
          </c:xVal>
          <c:yVal>
            <c:numRef>
              <c:f>'Método de la secante'!$K$91:$K$100</c:f>
              <c:numCache>
                <c:formatCode>General</c:formatCode>
                <c:ptCount val="10"/>
                <c:pt idx="0">
                  <c:v>0.25</c:v>
                </c:pt>
                <c:pt idx="1">
                  <c:v>1.2400000000000002</c:v>
                </c:pt>
                <c:pt idx="2">
                  <c:v>2</c:v>
                </c:pt>
                <c:pt idx="3">
                  <c:v>2.2024999999999997</c:v>
                </c:pt>
                <c:pt idx="4">
                  <c:v>2.3680999999999992</c:v>
                </c:pt>
                <c:pt idx="5">
                  <c:v>2.3848359999999991</c:v>
                </c:pt>
                <c:pt idx="6">
                  <c:v>2.3890250000000011</c:v>
                </c:pt>
                <c:pt idx="7">
                  <c:v>2.41</c:v>
                </c:pt>
                <c:pt idx="8">
                  <c:v>2.8400000000000007</c:v>
                </c:pt>
                <c:pt idx="9">
                  <c:v>4.25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16-4AE9-B135-BBA436B2B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930576"/>
        <c:axId val="1416941616"/>
      </c:scatterChart>
      <c:valAx>
        <c:axId val="141693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16941616"/>
        <c:crosses val="autoZero"/>
        <c:crossBetween val="midCat"/>
      </c:valAx>
      <c:valAx>
        <c:axId val="14169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1693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Bisección'!$M$21</c:f>
              <c:strCache>
                <c:ptCount val="1"/>
                <c:pt idx="0">
                  <c:v>f(c)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Bisección'!$L$22:$L$35</c:f>
              <c:numCache>
                <c:formatCode>General</c:formatCode>
                <c:ptCount val="14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</c:numCache>
            </c:numRef>
          </c:xVal>
          <c:yVal>
            <c:numRef>
              <c:f>'Método de Bisección'!$M$22:$M$35</c:f>
              <c:numCache>
                <c:formatCode>General</c:formatCode>
                <c:ptCount val="14"/>
                <c:pt idx="0">
                  <c:v>1023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1023</c:v>
                </c:pt>
                <c:pt idx="5">
                  <c:v>59048</c:v>
                </c:pt>
                <c:pt idx="6">
                  <c:v>1048575</c:v>
                </c:pt>
                <c:pt idx="7">
                  <c:v>9765624</c:v>
                </c:pt>
                <c:pt idx="8">
                  <c:v>60466175</c:v>
                </c:pt>
                <c:pt idx="9">
                  <c:v>282475248</c:v>
                </c:pt>
                <c:pt idx="10">
                  <c:v>1073741823</c:v>
                </c:pt>
                <c:pt idx="11">
                  <c:v>3486784400</c:v>
                </c:pt>
                <c:pt idx="12">
                  <c:v>9999999999</c:v>
                </c:pt>
                <c:pt idx="13">
                  <c:v>25937424600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3E-4D57-A680-5FFD31DF5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933824"/>
        <c:axId val="1219932864"/>
      </c:scatterChart>
      <c:valAx>
        <c:axId val="121993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932864"/>
        <c:crosses val="autoZero"/>
        <c:crossBetween val="midCat"/>
      </c:valAx>
      <c:valAx>
        <c:axId val="12199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93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Bisección'!$M$44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Bisección'!$L$45:$L$60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xVal>
          <c:yVal>
            <c:numRef>
              <c:f>'Método de Bisección'!$M$45:$M$60</c:f>
              <c:numCache>
                <c:formatCode>General</c:formatCode>
                <c:ptCount val="16"/>
                <c:pt idx="0">
                  <c:v>0</c:v>
                </c:pt>
                <c:pt idx="1">
                  <c:v>-8</c:v>
                </c:pt>
                <c:pt idx="2">
                  <c:v>-8.0990000000000002</c:v>
                </c:pt>
                <c:pt idx="3">
                  <c:v>-8.1920000000000002</c:v>
                </c:pt>
                <c:pt idx="4">
                  <c:v>-8.2729999999999997</c:v>
                </c:pt>
                <c:pt idx="5">
                  <c:v>-8.3360000000000003</c:v>
                </c:pt>
                <c:pt idx="6">
                  <c:v>-8.375</c:v>
                </c:pt>
                <c:pt idx="7">
                  <c:v>-8.3840000000000003</c:v>
                </c:pt>
                <c:pt idx="8">
                  <c:v>-8.3569999999999993</c:v>
                </c:pt>
                <c:pt idx="9">
                  <c:v>-8.2880000000000003</c:v>
                </c:pt>
                <c:pt idx="10">
                  <c:v>-8.1709999999999994</c:v>
                </c:pt>
                <c:pt idx="11">
                  <c:v>-8</c:v>
                </c:pt>
                <c:pt idx="12">
                  <c:v>-7.7690000000000001</c:v>
                </c:pt>
                <c:pt idx="13">
                  <c:v>-7.4719999999999995</c:v>
                </c:pt>
                <c:pt idx="14">
                  <c:v>-7.1029999999999998</c:v>
                </c:pt>
                <c:pt idx="15">
                  <c:v>-6.6560000000000006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94-4782-9415-0ED42FCAE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994928"/>
        <c:axId val="1736993008"/>
      </c:scatterChart>
      <c:valAx>
        <c:axId val="173699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6993008"/>
        <c:crosses val="autoZero"/>
        <c:crossBetween val="midCat"/>
      </c:valAx>
      <c:valAx>
        <c:axId val="17369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699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Bisección'!$M$78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Bisección'!$L$79:$L$95</c:f>
              <c:numCache>
                <c:formatCode>General</c:formatCode>
                <c:ptCount val="1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</c:numCache>
            </c:numRef>
          </c:xVal>
          <c:yVal>
            <c:numRef>
              <c:f>'Método de Bisección'!$M$79:$M$95</c:f>
              <c:numCache>
                <c:formatCode>General</c:formatCode>
                <c:ptCount val="17"/>
                <c:pt idx="0">
                  <c:v>-20</c:v>
                </c:pt>
                <c:pt idx="1">
                  <c:v>-18.98</c:v>
                </c:pt>
                <c:pt idx="2">
                  <c:v>-17.920000000000002</c:v>
                </c:pt>
                <c:pt idx="3">
                  <c:v>-16.82</c:v>
                </c:pt>
                <c:pt idx="4">
                  <c:v>-15.68</c:v>
                </c:pt>
                <c:pt idx="5">
                  <c:v>-14.5</c:v>
                </c:pt>
                <c:pt idx="6">
                  <c:v>-13.280000000000001</c:v>
                </c:pt>
                <c:pt idx="7">
                  <c:v>-12.02</c:v>
                </c:pt>
                <c:pt idx="8">
                  <c:v>-10.719999999999999</c:v>
                </c:pt>
                <c:pt idx="9">
                  <c:v>-9.379999999999999</c:v>
                </c:pt>
                <c:pt idx="10">
                  <c:v>-8</c:v>
                </c:pt>
                <c:pt idx="11">
                  <c:v>-6.58</c:v>
                </c:pt>
                <c:pt idx="12">
                  <c:v>-5.120000000000001</c:v>
                </c:pt>
                <c:pt idx="13">
                  <c:v>-3.620000000000001</c:v>
                </c:pt>
                <c:pt idx="14">
                  <c:v>-2.0800000000000018</c:v>
                </c:pt>
                <c:pt idx="15">
                  <c:v>-0.5</c:v>
                </c:pt>
                <c:pt idx="16">
                  <c:v>1.120000000000001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F5-4A87-97AB-C1F4BA3EB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492416"/>
        <c:axId val="1672491456"/>
      </c:scatterChart>
      <c:valAx>
        <c:axId val="16724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2491456"/>
        <c:crosses val="autoZero"/>
        <c:crossBetween val="midCat"/>
      </c:valAx>
      <c:valAx>
        <c:axId val="16724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249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Bisección'!$L$142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Bisección'!$K$143:$K$153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'Método de Bisección'!$L$143:$L$153</c:f>
              <c:numCache>
                <c:formatCode>General</c:formatCode>
                <c:ptCount val="11"/>
                <c:pt idx="0">
                  <c:v>-25</c:v>
                </c:pt>
                <c:pt idx="1">
                  <c:v>-24.992000000000001</c:v>
                </c:pt>
                <c:pt idx="2">
                  <c:v>-24.936</c:v>
                </c:pt>
                <c:pt idx="3">
                  <c:v>-24.783999999999999</c:v>
                </c:pt>
                <c:pt idx="4">
                  <c:v>-24.488</c:v>
                </c:pt>
                <c:pt idx="5">
                  <c:v>-24</c:v>
                </c:pt>
                <c:pt idx="6">
                  <c:v>-23.271999999999998</c:v>
                </c:pt>
                <c:pt idx="7">
                  <c:v>-22.256</c:v>
                </c:pt>
                <c:pt idx="8">
                  <c:v>-20.904</c:v>
                </c:pt>
                <c:pt idx="9">
                  <c:v>-19.167999999999999</c:v>
                </c:pt>
                <c:pt idx="10">
                  <c:v>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A3-4F0A-85BE-B979AA7FE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899728"/>
        <c:axId val="1684901168"/>
      </c:scatterChart>
      <c:valAx>
        <c:axId val="168489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901168"/>
        <c:crosses val="autoZero"/>
        <c:crossBetween val="midCat"/>
      </c:valAx>
      <c:valAx>
        <c:axId val="16849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489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Bisección'!$K$104:$K$108</c:f>
              <c:numCache>
                <c:formatCode>General</c:formatCode>
                <c:ptCount val="5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</c:numCache>
            </c:numRef>
          </c:xVal>
          <c:yVal>
            <c:numRef>
              <c:f>'Método de Bisección'!$L$104:$L$108</c:f>
              <c:numCache>
                <c:formatCode>General</c:formatCode>
                <c:ptCount val="5"/>
                <c:pt idx="0">
                  <c:v>-0.5</c:v>
                </c:pt>
                <c:pt idx="1">
                  <c:v>1.120000000000001</c:v>
                </c:pt>
                <c:pt idx="2">
                  <c:v>2.7800000000000011</c:v>
                </c:pt>
                <c:pt idx="3">
                  <c:v>4.4800000000000004</c:v>
                </c:pt>
                <c:pt idx="4">
                  <c:v>6.2199999999999989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1-43BE-94A1-5D351EBD9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415808"/>
        <c:axId val="1577412480"/>
      </c:scatterChart>
      <c:valAx>
        <c:axId val="157741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7412480"/>
        <c:crosses val="autoZero"/>
        <c:crossBetween val="midCat"/>
      </c:valAx>
      <c:valAx>
        <c:axId val="15774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741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Falsa posición'!$M$24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Falsa posición'!$L$25:$L$38</c:f>
              <c:numCache>
                <c:formatCode>General</c:formatCode>
                <c:ptCount val="14"/>
                <c:pt idx="0">
                  <c:v>-1</c:v>
                </c:pt>
                <c:pt idx="1">
                  <c:v>-0.5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</c:numCache>
            </c:numRef>
          </c:xVal>
          <c:yVal>
            <c:numRef>
              <c:f>'Método de Falsa posición'!$M$25:$M$38</c:f>
              <c:numCache>
                <c:formatCode>General</c:formatCode>
                <c:ptCount val="14"/>
                <c:pt idx="0">
                  <c:v>4.8981415690837729</c:v>
                </c:pt>
                <c:pt idx="1">
                  <c:v>3.5760359565179165</c:v>
                </c:pt>
                <c:pt idx="2">
                  <c:v>2.4896206839486608</c:v>
                </c:pt>
                <c:pt idx="3">
                  <c:v>2.3473706722598324</c:v>
                </c:pt>
                <c:pt idx="4">
                  <c:v>2.2141452461688202</c:v>
                </c:pt>
                <c:pt idx="5">
                  <c:v>2.0893003035256417</c:v>
                </c:pt>
                <c:pt idx="6">
                  <c:v>1.9722407777192266</c:v>
                </c:pt>
                <c:pt idx="7">
                  <c:v>1.8624167490536747</c:v>
                </c:pt>
                <c:pt idx="8">
                  <c:v>1.7593198733114934</c:v>
                </c:pt>
                <c:pt idx="9">
                  <c:v>1.6624801010925223</c:v>
                </c:pt>
                <c:pt idx="10">
                  <c:v>1.5714626637513613</c:v>
                </c:pt>
                <c:pt idx="11">
                  <c:v>1.4858653037988714</c:v>
                </c:pt>
                <c:pt idx="12">
                  <c:v>1.1270723877821147</c:v>
                </c:pt>
                <c:pt idx="13">
                  <c:v>0.85821216100107844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C9-49A8-99FC-C7EDF5A17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995888"/>
        <c:axId val="1736994448"/>
      </c:scatterChart>
      <c:valAx>
        <c:axId val="173699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6994448"/>
        <c:crosses val="autoZero"/>
        <c:crossBetween val="midCat"/>
      </c:valAx>
      <c:valAx>
        <c:axId val="17369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699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Falsa posición'!$M$54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Falsa posición'!$L$55:$L$61</c:f>
              <c:numCache>
                <c:formatCode>General</c:formatCode>
                <c:ptCount val="7"/>
                <c:pt idx="0">
                  <c:v>-0.5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2</c:v>
                </c:pt>
              </c:numCache>
            </c:numRef>
          </c:xVal>
          <c:yVal>
            <c:numRef>
              <c:f>'Método de Falsa posición'!$M$55:$M$61</c:f>
              <c:numCache>
                <c:formatCode>General</c:formatCode>
                <c:ptCount val="7"/>
                <c:pt idx="0">
                  <c:v>-3.75</c:v>
                </c:pt>
                <c:pt idx="1">
                  <c:v>-4</c:v>
                </c:pt>
                <c:pt idx="2">
                  <c:v>-3.75</c:v>
                </c:pt>
                <c:pt idx="3">
                  <c:v>-3</c:v>
                </c:pt>
                <c:pt idx="4">
                  <c:v>-2.4375</c:v>
                </c:pt>
                <c:pt idx="5">
                  <c:v>-1.75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8B-4CF0-8076-77A4B0C2E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767472"/>
        <c:axId val="1685764592"/>
      </c:scatterChart>
      <c:valAx>
        <c:axId val="168576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5764592"/>
        <c:crosses val="autoZero"/>
        <c:crossBetween val="midCat"/>
      </c:valAx>
      <c:valAx>
        <c:axId val="16857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576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Falsa posición'!$M$81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Falsa posición'!$L$82:$L$91</c:f>
              <c:numCache>
                <c:formatCode>General</c:formatCode>
                <c:ptCount val="10"/>
                <c:pt idx="0">
                  <c:v>-0.5</c:v>
                </c:pt>
                <c:pt idx="1">
                  <c:v>0</c:v>
                </c:pt>
                <c:pt idx="2">
                  <c:v>0.1</c:v>
                </c:pt>
                <c:pt idx="3">
                  <c:v>0.15</c:v>
                </c:pt>
                <c:pt idx="4">
                  <c:v>0.18</c:v>
                </c:pt>
                <c:pt idx="5">
                  <c:v>0.2</c:v>
                </c:pt>
                <c:pt idx="6">
                  <c:v>0.20100000000000001</c:v>
                </c:pt>
                <c:pt idx="7">
                  <c:v>0.20200000000000001</c:v>
                </c:pt>
                <c:pt idx="8">
                  <c:v>0.25</c:v>
                </c:pt>
                <c:pt idx="9">
                  <c:v>0.5</c:v>
                </c:pt>
              </c:numCache>
            </c:numRef>
          </c:xVal>
          <c:yVal>
            <c:numRef>
              <c:f>'Método de Falsa posición'!$M$82:$M$91</c:f>
              <c:numCache>
                <c:formatCode>General</c:formatCode>
                <c:ptCount val="10"/>
                <c:pt idx="0">
                  <c:v>-5.5</c:v>
                </c:pt>
                <c:pt idx="1">
                  <c:v>-5</c:v>
                </c:pt>
                <c:pt idx="2">
                  <c:v>-4.9000000000000004</c:v>
                </c:pt>
                <c:pt idx="3">
                  <c:v>-4.8499999999999996</c:v>
                </c:pt>
                <c:pt idx="4">
                  <c:v>-4.82</c:v>
                </c:pt>
                <c:pt idx="5">
                  <c:v>-4.8</c:v>
                </c:pt>
                <c:pt idx="6">
                  <c:v>-4.7990000000000004</c:v>
                </c:pt>
                <c:pt idx="7">
                  <c:v>-4.798</c:v>
                </c:pt>
                <c:pt idx="8">
                  <c:v>-4.75</c:v>
                </c:pt>
                <c:pt idx="9">
                  <c:v>-4.5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70-484D-B9C8-7FF6DB8D3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624144"/>
        <c:axId val="1733625584"/>
      </c:scatterChart>
      <c:valAx>
        <c:axId val="173362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3625584"/>
        <c:crosses val="autoZero"/>
        <c:crossBetween val="midCat"/>
      </c:valAx>
      <c:valAx>
        <c:axId val="173362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362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'Método de Falsa posición'!$M$105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'Método de Falsa posición'!$L$106:$L$115</c:f>
              <c:numCache>
                <c:formatCode>General</c:formatCode>
                <c:ptCount val="10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2.0499999999999998</c:v>
                </c:pt>
                <c:pt idx="4">
                  <c:v>2.09</c:v>
                </c:pt>
                <c:pt idx="5">
                  <c:v>2.0939999999999999</c:v>
                </c:pt>
                <c:pt idx="6">
                  <c:v>2.0950000000000002</c:v>
                </c:pt>
                <c:pt idx="7">
                  <c:v>2.1</c:v>
                </c:pt>
                <c:pt idx="8">
                  <c:v>2.2000000000000002</c:v>
                </c:pt>
                <c:pt idx="9">
                  <c:v>2.5</c:v>
                </c:pt>
              </c:numCache>
            </c:numRef>
          </c:xVal>
          <c:yVal>
            <c:numRef>
              <c:f>'Método de Falsa posición'!$M$106:$M$115</c:f>
              <c:numCache>
                <c:formatCode>General</c:formatCode>
                <c:ptCount val="10"/>
                <c:pt idx="0">
                  <c:v>-4</c:v>
                </c:pt>
                <c:pt idx="1">
                  <c:v>-3.4</c:v>
                </c:pt>
                <c:pt idx="2">
                  <c:v>-3</c:v>
                </c:pt>
                <c:pt idx="3">
                  <c:v>-2.9000000000000004</c:v>
                </c:pt>
                <c:pt idx="4">
                  <c:v>-2.8200000000000003</c:v>
                </c:pt>
                <c:pt idx="5">
                  <c:v>-2.8120000000000003</c:v>
                </c:pt>
                <c:pt idx="6">
                  <c:v>-2.8099999999999996</c:v>
                </c:pt>
                <c:pt idx="7">
                  <c:v>-2.8</c:v>
                </c:pt>
                <c:pt idx="8">
                  <c:v>-2.5999999999999996</c:v>
                </c:pt>
                <c:pt idx="9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85-41F7-8ACC-F20A927FC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672176"/>
        <c:axId val="1733670736"/>
      </c:scatterChart>
      <c:valAx>
        <c:axId val="173367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3670736"/>
        <c:crosses val="autoZero"/>
        <c:crossBetween val="midCat"/>
      </c:valAx>
      <c:valAx>
        <c:axId val="17336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3367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f(x)</a:t>
            </a:r>
          </a:p>
          <a:p>
            <a:pPr>
              <a:defRPr/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'Método de Falsa posición'!$I$134:$I$141</c:f>
              <c:numCache>
                <c:formatCode>General</c:formatCode>
                <c:ptCount val="8"/>
                <c:pt idx="0">
                  <c:v>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1.9</c:v>
                </c:pt>
                <c:pt idx="7">
                  <c:v>2</c:v>
                </c:pt>
              </c:numCache>
            </c:numRef>
          </c:xVal>
          <c:yVal>
            <c:numRef>
              <c:f>'Método de Falsa posición'!$J$134:$J$141</c:f>
              <c:numCache>
                <c:formatCode>General</c:formatCode>
                <c:ptCount val="8"/>
                <c:pt idx="0">
                  <c:v>-5</c:v>
                </c:pt>
                <c:pt idx="1">
                  <c:v>-4.5999999999999996</c:v>
                </c:pt>
                <c:pt idx="2">
                  <c:v>-4.4000000000000004</c:v>
                </c:pt>
                <c:pt idx="3">
                  <c:v>-4</c:v>
                </c:pt>
                <c:pt idx="4">
                  <c:v>-3.8</c:v>
                </c:pt>
                <c:pt idx="5">
                  <c:v>-3.6</c:v>
                </c:pt>
                <c:pt idx="6">
                  <c:v>-3.2</c:v>
                </c:pt>
                <c:pt idx="7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83-4BDF-A854-F263DAE5E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216752"/>
        <c:axId val="1468206352"/>
      </c:scatterChart>
      <c:valAx>
        <c:axId val="146821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8206352"/>
        <c:crosses val="autoZero"/>
        <c:crossBetween val="midCat"/>
      </c:valAx>
      <c:valAx>
        <c:axId val="14682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821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793749</xdr:colOff>
      <xdr:row>1</xdr:row>
      <xdr:rowOff>7620</xdr:rowOff>
    </xdr:from>
    <xdr:to>
      <xdr:col>22</xdr:col>
      <xdr:colOff>582082</xdr:colOff>
      <xdr:row>37</xdr:row>
      <xdr:rowOff>127000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984E718-9ECA-7CAE-F2A6-519DC1120158}"/>
            </a:ext>
          </a:extLst>
        </xdr:cNvPr>
        <xdr:cNvSpPr txBox="1"/>
      </xdr:nvSpPr>
      <xdr:spPr>
        <a:xfrm>
          <a:off x="1587499" y="187537"/>
          <a:ext cx="16457083" cy="659638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3200" b="1">
              <a:latin typeface="Consolas" panose="020B0609020204030204" pitchFamily="49" charset="0"/>
            </a:rPr>
            <a:t>INSTITUTO</a:t>
          </a:r>
          <a:r>
            <a:rPr lang="es-ES" sz="3200" b="1" baseline="0">
              <a:latin typeface="Consolas" panose="020B0609020204030204" pitchFamily="49" charset="0"/>
            </a:rPr>
            <a:t> TECNOLOGICO SUPERIOR DEL ORIENTE DEL ESTADO DE HIDALGO </a:t>
          </a:r>
        </a:p>
        <a:p>
          <a:pPr algn="ctr"/>
          <a:endParaRPr lang="es-ES" sz="3200" b="1" baseline="0">
            <a:latin typeface="Consolas" panose="020B0609020204030204" pitchFamily="49" charset="0"/>
          </a:endParaRPr>
        </a:p>
        <a:p>
          <a:pPr algn="ctr"/>
          <a:r>
            <a:rPr lang="es-ES" sz="3200" b="1" baseline="0">
              <a:latin typeface="Consolas" panose="020B0609020204030204" pitchFamily="49" charset="0"/>
            </a:rPr>
            <a:t>INGENIERIA EN SISTEMAS COMPUTACIONALES </a:t>
          </a:r>
        </a:p>
        <a:p>
          <a:pPr algn="ctr"/>
          <a:endParaRPr lang="es-ES" sz="3200" b="1" baseline="0">
            <a:latin typeface="Consolas" panose="020B0609020204030204" pitchFamily="49" charset="0"/>
          </a:endParaRPr>
        </a:p>
        <a:p>
          <a:pPr algn="ctr"/>
          <a:r>
            <a:rPr lang="es-ES" sz="3200" b="1" baseline="0">
              <a:latin typeface="Consolas" panose="020B0609020204030204" pitchFamily="49" charset="0"/>
            </a:rPr>
            <a:t>DR. EFRÉN ROLANDO ROMERO </a:t>
          </a:r>
        </a:p>
        <a:p>
          <a:pPr algn="ctr"/>
          <a:endParaRPr lang="es-ES" sz="3200" b="1" baseline="0">
            <a:latin typeface="Consolas" panose="020B0609020204030204" pitchFamily="49" charset="0"/>
          </a:endParaRPr>
        </a:p>
        <a:p>
          <a:pPr algn="ctr"/>
          <a:r>
            <a:rPr lang="es-ES" sz="3200" b="1" baseline="0">
              <a:latin typeface="Consolas" panose="020B0609020204030204" pitchFamily="49" charset="0"/>
            </a:rPr>
            <a:t>T2 PROBLEMARIO </a:t>
          </a:r>
        </a:p>
        <a:p>
          <a:pPr algn="ctr"/>
          <a:endParaRPr lang="es-ES" sz="3200" b="1" baseline="0">
            <a:latin typeface="Consolas" panose="020B0609020204030204" pitchFamily="49" charset="0"/>
          </a:endParaRPr>
        </a:p>
        <a:p>
          <a:pPr algn="l"/>
          <a:r>
            <a:rPr lang="es-ES" sz="3200" b="1" baseline="0">
              <a:latin typeface="Consolas" panose="020B0609020204030204" pitchFamily="49" charset="0"/>
            </a:rPr>
            <a:t>FATIMA YOILYN ARELLANO RIVERA</a:t>
          </a:r>
        </a:p>
        <a:p>
          <a:pPr algn="l"/>
          <a:r>
            <a:rPr lang="es-ES" sz="3200" b="1" baseline="0">
              <a:latin typeface="Consolas" panose="020B0609020204030204" pitchFamily="49" charset="0"/>
            </a:rPr>
            <a:t>IMANOL RODRIGUEZ GOMEZ </a:t>
          </a:r>
        </a:p>
        <a:p>
          <a:pPr algn="l"/>
          <a:r>
            <a:rPr lang="es-ES" sz="3200" b="1" baseline="0">
              <a:latin typeface="Consolas" panose="020B0609020204030204" pitchFamily="49" charset="0"/>
            </a:rPr>
            <a:t>ARIANA AGUILAR SÁNCHEZ</a:t>
          </a:r>
        </a:p>
        <a:p>
          <a:pPr algn="l"/>
          <a:r>
            <a:rPr lang="es-ES" sz="3200" b="1" baseline="0">
              <a:latin typeface="Consolas" panose="020B0609020204030204" pitchFamily="49" charset="0"/>
            </a:rPr>
            <a:t>CRISTHIAN BERNARDO GARCIA MORA</a:t>
          </a:r>
        </a:p>
        <a:p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0</xdr:rowOff>
    </xdr:from>
    <xdr:ext cx="7551420" cy="389382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07CAAD3-7E9E-7CE6-3204-BE05322ADD74}"/>
            </a:ext>
          </a:extLst>
        </xdr:cNvPr>
        <xdr:cNvSpPr txBox="1"/>
      </xdr:nvSpPr>
      <xdr:spPr>
        <a:xfrm>
          <a:off x="38100" y="182880"/>
          <a:ext cx="7551420" cy="3893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2800" b="1">
              <a:latin typeface="Bahnschrift Light" panose="020B0502040204020203" pitchFamily="34" charset="0"/>
            </a:rPr>
            <a:t>Contenido</a:t>
          </a:r>
        </a:p>
        <a:p>
          <a:endParaRPr lang="es-ES" sz="2800" b="1"/>
        </a:p>
        <a:p>
          <a:r>
            <a:rPr lang="es-ES" sz="2000">
              <a:latin typeface="Aptos Narrow" panose="020B0004020202020204" pitchFamily="34" charset="0"/>
            </a:rPr>
            <a:t>Portada</a:t>
          </a:r>
        </a:p>
        <a:p>
          <a:r>
            <a:rPr lang="es-ES" sz="2000">
              <a:latin typeface="Aptos Narrow" panose="020B0004020202020204" pitchFamily="34" charset="0"/>
            </a:rPr>
            <a:t>Método</a:t>
          </a:r>
          <a:r>
            <a:rPr lang="es-ES" sz="2000" baseline="0">
              <a:latin typeface="Aptos Narrow" panose="020B0004020202020204" pitchFamily="34" charset="0"/>
            </a:rPr>
            <a:t> de Newton Rapshon </a:t>
          </a:r>
        </a:p>
        <a:p>
          <a:r>
            <a:rPr lang="es-ES" sz="2000" baseline="0">
              <a:latin typeface="Aptos Narrow" panose="020B0004020202020204" pitchFamily="34" charset="0"/>
            </a:rPr>
            <a:t>Método de la secante</a:t>
          </a:r>
        </a:p>
        <a:p>
          <a:r>
            <a:rPr lang="es-ES" sz="2000" baseline="0">
              <a:latin typeface="Aptos Narrow" panose="020B0004020202020204" pitchFamily="34" charset="0"/>
            </a:rPr>
            <a:t>Método de bisección</a:t>
          </a:r>
        </a:p>
        <a:p>
          <a:r>
            <a:rPr lang="es-ES" sz="2000" baseline="0">
              <a:latin typeface="Aptos Narrow" panose="020B0004020202020204" pitchFamily="34" charset="0"/>
            </a:rPr>
            <a:t>Método de falsa posición</a:t>
          </a:r>
        </a:p>
        <a:p>
          <a:r>
            <a:rPr lang="es-ES" sz="2000" baseline="0">
              <a:latin typeface="Aptos Narrow" panose="020B0004020202020204" pitchFamily="34" charset="0"/>
            </a:rPr>
            <a:t>Tablero Scrum</a:t>
          </a:r>
        </a:p>
        <a:p>
          <a:r>
            <a:rPr lang="es-ES" sz="2000" baseline="0">
              <a:latin typeface="Aptos Narrow" panose="020B0004020202020204" pitchFamily="34" charset="0"/>
            </a:rPr>
            <a:t>Evidencia de trabajo en equipo</a:t>
          </a:r>
        </a:p>
        <a:p>
          <a:r>
            <a:rPr lang="es-ES" sz="2000" baseline="0">
              <a:latin typeface="Aptos Narrow" panose="020B0004020202020204" pitchFamily="34" charset="0"/>
            </a:rPr>
            <a:t>Github</a:t>
          </a:r>
        </a:p>
        <a:p>
          <a:r>
            <a:rPr lang="es-ES" sz="2000" baseline="0">
              <a:latin typeface="Aptos Narrow" panose="020B0004020202020204" pitchFamily="34" charset="0"/>
            </a:rPr>
            <a:t>Conclusiones</a:t>
          </a:r>
        </a:p>
        <a:p>
          <a:r>
            <a:rPr lang="es-ES" sz="2000" baseline="0">
              <a:latin typeface="Aptos Narrow" panose="020B0004020202020204" pitchFamily="34" charset="0"/>
            </a:rPr>
            <a:t>Referencias</a:t>
          </a:r>
        </a:p>
        <a:p>
          <a:endParaRPr lang="es-E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3</xdr:row>
      <xdr:rowOff>68580</xdr:rowOff>
    </xdr:from>
    <xdr:ext cx="2072640" cy="3926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B5E55EB-F8D1-4D63-8062-464BC738D8AA}"/>
                </a:ext>
              </a:extLst>
            </xdr:cNvPr>
            <xdr:cNvSpPr txBox="1"/>
          </xdr:nvSpPr>
          <xdr:spPr>
            <a:xfrm>
              <a:off x="259080" y="731520"/>
              <a:ext cx="2072640" cy="3926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6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+1</m:t>
                      </m:r>
                    </m:sub>
                  </m:sSub>
                </m:oMath>
              </a14:m>
              <a:r>
                <a:rPr lang="es-ES" sz="1600"/>
                <a:t>= </a:t>
              </a:r>
              <a14:m>
                <m:oMath xmlns:m="http://schemas.openxmlformats.org/officeDocument/2006/math">
                  <m:sSub>
                    <m:sSubPr>
                      <m:ctrlPr>
                        <a:rPr lang="es-ES" sz="16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MX" sz="16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s-MX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𝑓</m:t>
                      </m:r>
                      <m:sSub>
                        <m:sSubPr>
                          <m:ctrlPr>
                            <a:rPr lang="es-MX" sz="16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600" b="0" i="1"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es-MX" sz="16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s-MX" sz="1600" b="0" i="1">
                              <a:latin typeface="Cambria Math" panose="02040503050406030204" pitchFamily="18" charset="0"/>
                            </a:rPr>
                            <m:t>𝑖</m:t>
                          </m:r>
                        </m:sub>
                      </m:sSub>
                      <m:r>
                        <a:rPr lang="es-MX" sz="1600" b="0" i="1">
                          <a:latin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a:rPr lang="es-MX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  <m:sSub>
                        <m:sSubPr>
                          <m:ctrlPr>
                            <a:rPr lang="es-MX" sz="16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16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´(</m:t>
                          </m:r>
                          <m:r>
                            <a:rPr lang="es-MX" sz="16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b>
                          <m:r>
                            <a:rPr lang="es-MX" sz="16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</m:sub>
                      </m:sSub>
                      <m:r>
                        <a:rPr lang="es-MX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den>
                  </m:f>
                </m:oMath>
              </a14:m>
              <a:endParaRPr lang="es-ES" sz="1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B5E55EB-F8D1-4D63-8062-464BC738D8AA}"/>
                </a:ext>
              </a:extLst>
            </xdr:cNvPr>
            <xdr:cNvSpPr txBox="1"/>
          </xdr:nvSpPr>
          <xdr:spPr>
            <a:xfrm>
              <a:off x="259080" y="731520"/>
              <a:ext cx="2072640" cy="3926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600" b="0" i="0">
                  <a:latin typeface="Cambria Math" panose="02040503050406030204" pitchFamily="18" charset="0"/>
                </a:rPr>
                <a:t>𝑥</a:t>
              </a:r>
              <a:r>
                <a:rPr lang="es-ES" sz="1600" b="0" i="0">
                  <a:latin typeface="Cambria Math" panose="02040503050406030204" pitchFamily="18" charset="0"/>
                </a:rPr>
                <a:t>_(</a:t>
              </a:r>
              <a:r>
                <a:rPr lang="es-MX" sz="1600" b="0" i="0">
                  <a:latin typeface="Cambria Math" panose="02040503050406030204" pitchFamily="18" charset="0"/>
                </a:rPr>
                <a:t>𝑖+1</a:t>
              </a:r>
              <a:r>
                <a:rPr lang="es-ES" sz="1600" b="0" i="0">
                  <a:latin typeface="Cambria Math" panose="02040503050406030204" pitchFamily="18" charset="0"/>
                </a:rPr>
                <a:t>)</a:t>
              </a:r>
              <a:r>
                <a:rPr lang="es-ES" sz="1600"/>
                <a:t>= </a:t>
              </a:r>
              <a:r>
                <a:rPr lang="es-MX" sz="1600" b="0" i="0">
                  <a:latin typeface="Cambria Math" panose="02040503050406030204" pitchFamily="18" charset="0"/>
                </a:rPr>
                <a:t>𝑥</a:t>
              </a:r>
              <a:r>
                <a:rPr lang="es-ES" sz="1600" b="0" i="0">
                  <a:latin typeface="Cambria Math" panose="02040503050406030204" pitchFamily="18" charset="0"/>
                </a:rPr>
                <a:t>_</a:t>
              </a:r>
              <a:r>
                <a:rPr lang="es-MX" sz="1600" b="0" i="0">
                  <a:latin typeface="Cambria Math" panose="02040503050406030204" pitchFamily="18" charset="0"/>
                </a:rPr>
                <a:t>𝑖−(𝑓〖(𝑥〗_𝑖))/(</a:t>
              </a:r>
              <a:r>
                <a:rPr lang="es-MX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𝑓〖´(𝑥〗_𝑖))</a:t>
              </a:r>
              <a:endParaRPr lang="es-ES" sz="1600"/>
            </a:p>
          </xdr:txBody>
        </xdr:sp>
      </mc:Fallback>
    </mc:AlternateContent>
    <xdr:clientData/>
  </xdr:oneCellAnchor>
  <xdr:oneCellAnchor>
    <xdr:from>
      <xdr:col>0</xdr:col>
      <xdr:colOff>0</xdr:colOff>
      <xdr:row>11</xdr:row>
      <xdr:rowOff>0</xdr:rowOff>
    </xdr:from>
    <xdr:ext cx="12103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7A42C6A-AEBA-479A-AD43-E3E408FAA46F}"/>
                </a:ext>
              </a:extLst>
            </xdr:cNvPr>
            <xdr:cNvSpPr txBox="1"/>
          </xdr:nvSpPr>
          <xdr:spPr>
            <a:xfrm>
              <a:off x="0" y="2125980"/>
              <a:ext cx="12103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=2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𝑠𝑒𝑛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7A42C6A-AEBA-479A-AD43-E3E408FAA46F}"/>
                </a:ext>
              </a:extLst>
            </xdr:cNvPr>
            <xdr:cNvSpPr txBox="1"/>
          </xdr:nvSpPr>
          <xdr:spPr>
            <a:xfrm>
              <a:off x="0" y="2125980"/>
              <a:ext cx="12103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𝑓(𝑥)=2𝑠𝑒𝑛 𝑥 −𝑥 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12</xdr:row>
      <xdr:rowOff>29206</xdr:rowOff>
    </xdr:from>
    <xdr:ext cx="120930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C361750-F6A2-4D59-BA0D-120C404C873C}"/>
                </a:ext>
              </a:extLst>
            </xdr:cNvPr>
            <xdr:cNvSpPr txBox="1"/>
          </xdr:nvSpPr>
          <xdr:spPr>
            <a:xfrm>
              <a:off x="0" y="2338066"/>
              <a:ext cx="12093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´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=2</m:t>
                    </m:r>
                    <m:func>
                      <m:func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s-MX" sz="1100" b="0" i="1">
                        <a:latin typeface="Cambria Math" panose="02040503050406030204" pitchFamily="18" charset="0"/>
                      </a:rPr>
                      <m:t> −1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C361750-F6A2-4D59-BA0D-120C404C873C}"/>
                </a:ext>
              </a:extLst>
            </xdr:cNvPr>
            <xdr:cNvSpPr txBox="1"/>
          </xdr:nvSpPr>
          <xdr:spPr>
            <a:xfrm>
              <a:off x="0" y="2338066"/>
              <a:ext cx="12093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𝑓´(𝑥)=2 cos⁡𝑥  −1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2</xdr:col>
      <xdr:colOff>388620</xdr:colOff>
      <xdr:row>10</xdr:row>
      <xdr:rowOff>148027</xdr:rowOff>
    </xdr:from>
    <xdr:ext cx="439736" cy="2876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B4AEBC0-B059-49CF-8800-C81F200FAE56}"/>
                </a:ext>
              </a:extLst>
            </xdr:cNvPr>
            <xdr:cNvSpPr txBox="1"/>
          </xdr:nvSpPr>
          <xdr:spPr>
            <a:xfrm>
              <a:off x="1973580" y="2091127"/>
              <a:ext cx="439736" cy="2876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π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B4AEBC0-B059-49CF-8800-C81F200FAE56}"/>
                </a:ext>
              </a:extLst>
            </xdr:cNvPr>
            <xdr:cNvSpPr txBox="1"/>
          </xdr:nvSpPr>
          <xdr:spPr>
            <a:xfrm>
              <a:off x="1973580" y="2091127"/>
              <a:ext cx="439736" cy="2876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0=</a:t>
              </a:r>
              <a:r>
                <a:rPr lang="el-GR" sz="1100" b="0" i="0">
                  <a:latin typeface="Cambria Math" panose="02040503050406030204" pitchFamily="18" charset="0"/>
                </a:rPr>
                <a:t>π</a:t>
              </a:r>
              <a:r>
                <a:rPr lang="es-MX" sz="1100" b="0" i="0">
                  <a:latin typeface="Cambria Math" panose="02040503050406030204" pitchFamily="18" charset="0"/>
                </a:rPr>
                <a:t>/4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11</xdr:col>
      <xdr:colOff>0</xdr:colOff>
      <xdr:row>11</xdr:row>
      <xdr:rowOff>0</xdr:rowOff>
    </xdr:from>
    <xdr:to>
      <xdr:col>16</xdr:col>
      <xdr:colOff>617130</xdr:colOff>
      <xdr:row>25</xdr:row>
      <xdr:rowOff>140713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9677052-C375-42BE-B104-2C7F884EB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36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B060F585-63CA-4CB2-92B1-BFEF2536184A}"/>
                </a:ext>
              </a:extLst>
            </xdr:cNvPr>
            <xdr:cNvSpPr txBox="1"/>
          </xdr:nvSpPr>
          <xdr:spPr>
            <a:xfrm>
              <a:off x="0" y="669798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MX" sz="1100" b="0" i="1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MX" sz="1100" b="0" i="1">
                      <a:latin typeface="Cambria Math" panose="02040503050406030204" pitchFamily="18" charset="0"/>
                    </a:rPr>
                    <m:t>=19</m:t>
                  </m:r>
                  <m:r>
                    <a:rPr lang="es-MX" sz="1100" b="0" i="0">
                      <a:latin typeface="Cambria Math" panose="02040503050406030204" pitchFamily="18" charset="0"/>
                    </a:rPr>
                    <m:t> </m:t>
                  </m:r>
                  <m:r>
                    <a:rPr lang="es-MX" sz="11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7</m:t>
                      </m:r>
                    </m:sup>
                  </m:sSup>
                </m:oMath>
              </a14:m>
              <a:r>
                <a:rPr lang="es-ES" sz="1100"/>
                <a:t>-</a:t>
              </a:r>
              <a14:m>
                <m:oMath xmlns:m="http://schemas.openxmlformats.org/officeDocument/2006/math">
                  <m:sSup>
                    <m:sSup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6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s-ES" sz="1100"/>
                <a:t>-19</a:t>
              </a: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B060F585-63CA-4CB2-92B1-BFEF2536184A}"/>
                </a:ext>
              </a:extLst>
            </xdr:cNvPr>
            <xdr:cNvSpPr txBox="1"/>
          </xdr:nvSpPr>
          <xdr:spPr>
            <a:xfrm>
              <a:off x="0" y="669798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𝑓(𝑥)=19  𝑥^7</a:t>
              </a:r>
              <a:r>
                <a:rPr lang="es-ES" sz="1100"/>
                <a:t>-</a:t>
              </a:r>
              <a:r>
                <a:rPr lang="es-ES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6𝑥</a:t>
              </a:r>
              <a:r>
                <a:rPr lang="es-ES" sz="1100" b="0" i="0">
                  <a:latin typeface="Cambria Math" panose="02040503050406030204" pitchFamily="18" charset="0"/>
                </a:rPr>
                <a:t>〗^</a:t>
              </a:r>
              <a:r>
                <a:rPr lang="es-MX" sz="1100" b="0" i="0">
                  <a:latin typeface="Cambria Math" panose="02040503050406030204" pitchFamily="18" charset="0"/>
                </a:rPr>
                <a:t>2</a:t>
              </a:r>
              <a:r>
                <a:rPr lang="es-ES" sz="1100"/>
                <a:t>-19</a:t>
              </a:r>
            </a:p>
          </xdr:txBody>
        </xdr:sp>
      </mc:Fallback>
    </mc:AlternateContent>
    <xdr:clientData/>
  </xdr:oneCellAnchor>
  <xdr:oneCellAnchor>
    <xdr:from>
      <xdr:col>0</xdr:col>
      <xdr:colOff>0</xdr:colOff>
      <xdr:row>38</xdr:row>
      <xdr:rowOff>3694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57C8AC17-8146-4D34-93DD-7321761744BF}"/>
                </a:ext>
              </a:extLst>
            </xdr:cNvPr>
            <xdr:cNvSpPr txBox="1"/>
          </xdr:nvSpPr>
          <xdr:spPr>
            <a:xfrm>
              <a:off x="0" y="7067434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´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=133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−12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57C8AC17-8146-4D34-93DD-7321761744BF}"/>
                </a:ext>
              </a:extLst>
            </xdr:cNvPr>
            <xdr:cNvSpPr txBox="1"/>
          </xdr:nvSpPr>
          <xdr:spPr>
            <a:xfrm>
              <a:off x="0" y="7067434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𝑓´(𝑥)=133  𝑥^6−12x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83820</xdr:colOff>
      <xdr:row>36</xdr:row>
      <xdr:rowOff>136594</xdr:rowOff>
    </xdr:from>
    <xdr:ext cx="4328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8607C32F-D901-4E7E-9CB3-1ED26CAB1523}"/>
                </a:ext>
              </a:extLst>
            </xdr:cNvPr>
            <xdr:cNvSpPr txBox="1"/>
          </xdr:nvSpPr>
          <xdr:spPr>
            <a:xfrm>
              <a:off x="2461260" y="6834574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=3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8607C32F-D901-4E7E-9CB3-1ED26CAB1523}"/>
                </a:ext>
              </a:extLst>
            </xdr:cNvPr>
            <xdr:cNvSpPr txBox="1"/>
          </xdr:nvSpPr>
          <xdr:spPr>
            <a:xfrm>
              <a:off x="2461260" y="6834574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0=3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11</xdr:col>
      <xdr:colOff>0</xdr:colOff>
      <xdr:row>36</xdr:row>
      <xdr:rowOff>0</xdr:rowOff>
    </xdr:from>
    <xdr:to>
      <xdr:col>16</xdr:col>
      <xdr:colOff>626918</xdr:colOff>
      <xdr:row>51</xdr:row>
      <xdr:rowOff>72159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190F0FC-DD8D-4BAA-A12E-7D037C73E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56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CBDE8AD3-5654-44E7-9652-D284E134CA30}"/>
                </a:ext>
              </a:extLst>
            </xdr:cNvPr>
            <xdr:cNvSpPr txBox="1"/>
          </xdr:nvSpPr>
          <xdr:spPr>
            <a:xfrm>
              <a:off x="0" y="10047767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MX" sz="1100" b="0" i="1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</m:oMath>
              </a14:m>
              <a:r>
                <a:rPr lang="es-ES" sz="1100"/>
                <a:t>+</a:t>
              </a:r>
              <a14:m>
                <m:oMath xmlns:m="http://schemas.openxmlformats.org/officeDocument/2006/math">
                  <m:sSup>
                    <m:sSup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2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s-MX" sz="1100" b="0" i="0">
                      <a:latin typeface="Cambria Math" panose="02040503050406030204" pitchFamily="18" charset="0"/>
                    </a:rPr>
                    <m:t>+10</m:t>
                  </m:r>
                  <m:r>
                    <m:rPr>
                      <m:sty m:val="p"/>
                    </m:rPr>
                    <a:rPr lang="es-MX" sz="1100" b="0" i="0">
                      <a:latin typeface="Cambria Math" panose="02040503050406030204" pitchFamily="18" charset="0"/>
                    </a:rPr>
                    <m:t>x</m:t>
                  </m:r>
                  <m:r>
                    <a:rPr lang="es-MX" sz="1100" b="0" i="0">
                      <a:latin typeface="Cambria Math" panose="02040503050406030204" pitchFamily="18" charset="0"/>
                    </a:rPr>
                    <m:t>−20</m:t>
                  </m:r>
                </m:oMath>
              </a14:m>
              <a:endParaRPr lang="es-ES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CBDE8AD3-5654-44E7-9652-D284E134CA30}"/>
                </a:ext>
              </a:extLst>
            </xdr:cNvPr>
            <xdr:cNvSpPr txBox="1"/>
          </xdr:nvSpPr>
          <xdr:spPr>
            <a:xfrm>
              <a:off x="0" y="10047767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𝑓(𝑥)=𝑥^3</a:t>
              </a:r>
              <a:r>
                <a:rPr lang="es-ES" sz="1100"/>
                <a:t>+</a:t>
              </a:r>
              <a:r>
                <a:rPr lang="es-ES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2𝑥</a:t>
              </a:r>
              <a:r>
                <a:rPr lang="es-ES" sz="1100" b="0" i="0">
                  <a:latin typeface="Cambria Math" panose="02040503050406030204" pitchFamily="18" charset="0"/>
                </a:rPr>
                <a:t>〗^</a:t>
              </a:r>
              <a:r>
                <a:rPr lang="es-MX" sz="1100" b="0" i="0">
                  <a:latin typeface="Cambria Math" panose="02040503050406030204" pitchFamily="18" charset="0"/>
                </a:rPr>
                <a:t>2+10x−20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15035</xdr:rowOff>
    </xdr:from>
    <xdr:ext cx="151929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24B85686-4D3A-464B-BFCD-4D8F8F6D8EE0}"/>
                </a:ext>
              </a:extLst>
            </xdr:cNvPr>
            <xdr:cNvSpPr txBox="1"/>
          </xdr:nvSpPr>
          <xdr:spPr>
            <a:xfrm>
              <a:off x="0" y="10417221"/>
              <a:ext cx="151929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´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=3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+4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+10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24B85686-4D3A-464B-BFCD-4D8F8F6D8EE0}"/>
                </a:ext>
              </a:extLst>
            </xdr:cNvPr>
            <xdr:cNvSpPr txBox="1"/>
          </xdr:nvSpPr>
          <xdr:spPr>
            <a:xfrm>
              <a:off x="0" y="10417221"/>
              <a:ext cx="151929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𝑓´(𝑥)=3  𝑥^2+4x+10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124046</xdr:colOff>
      <xdr:row>56</xdr:row>
      <xdr:rowOff>154118</xdr:rowOff>
    </xdr:from>
    <xdr:ext cx="4328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BE45A65E-8FCA-4805-88CE-457091602AC0}"/>
                </a:ext>
              </a:extLst>
            </xdr:cNvPr>
            <xdr:cNvSpPr txBox="1"/>
          </xdr:nvSpPr>
          <xdr:spPr>
            <a:xfrm>
              <a:off x="2516372" y="10201885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BE45A65E-8FCA-4805-88CE-457091602AC0}"/>
                </a:ext>
              </a:extLst>
            </xdr:cNvPr>
            <xdr:cNvSpPr txBox="1"/>
          </xdr:nvSpPr>
          <xdr:spPr>
            <a:xfrm>
              <a:off x="2516372" y="10201885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0=1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11</xdr:col>
      <xdr:colOff>0</xdr:colOff>
      <xdr:row>57</xdr:row>
      <xdr:rowOff>0</xdr:rowOff>
    </xdr:from>
    <xdr:to>
      <xdr:col>16</xdr:col>
      <xdr:colOff>599425</xdr:colOff>
      <xdr:row>72</xdr:row>
      <xdr:rowOff>119210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C8FC97A-EFE5-42BF-B197-B2E2065CA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0</xdr:colOff>
      <xdr:row>109</xdr:row>
      <xdr:rowOff>0</xdr:rowOff>
    </xdr:from>
    <xdr:ext cx="127270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26AE114A-7CA6-4B55-B643-DD2B5AA42AF5}"/>
                </a:ext>
              </a:extLst>
            </xdr:cNvPr>
            <xdr:cNvSpPr txBox="1"/>
          </xdr:nvSpPr>
          <xdr:spPr>
            <a:xfrm>
              <a:off x="0" y="21982981"/>
              <a:ext cx="12727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26AE114A-7CA6-4B55-B643-DD2B5AA42AF5}"/>
                </a:ext>
              </a:extLst>
            </xdr:cNvPr>
            <xdr:cNvSpPr txBox="1"/>
          </xdr:nvSpPr>
          <xdr:spPr>
            <a:xfrm>
              <a:off x="0" y="21982981"/>
              <a:ext cx="12727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𝑓(𝑥)=𝑥^3−x−1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110</xdr:row>
      <xdr:rowOff>150221</xdr:rowOff>
    </xdr:from>
    <xdr:ext cx="127270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EAA34D77-5611-4D98-8851-6C31754B05E1}"/>
                </a:ext>
              </a:extLst>
            </xdr:cNvPr>
            <xdr:cNvSpPr txBox="1"/>
          </xdr:nvSpPr>
          <xdr:spPr>
            <a:xfrm>
              <a:off x="0" y="22320108"/>
              <a:ext cx="12727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EAA34D77-5611-4D98-8851-6C31754B05E1}"/>
                </a:ext>
              </a:extLst>
            </xdr:cNvPr>
            <xdr:cNvSpPr txBox="1"/>
          </xdr:nvSpPr>
          <xdr:spPr>
            <a:xfrm>
              <a:off x="0" y="22320108"/>
              <a:ext cx="12727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𝑓(𝑥)=〖3𝑥〗^2−1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2</xdr:col>
      <xdr:colOff>11764</xdr:colOff>
      <xdr:row>110</xdr:row>
      <xdr:rowOff>182548</xdr:rowOff>
    </xdr:from>
    <xdr:ext cx="4328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BA5B687B-848B-4BC9-83E9-54AF85391A69}"/>
                </a:ext>
              </a:extLst>
            </xdr:cNvPr>
            <xdr:cNvSpPr txBox="1"/>
          </xdr:nvSpPr>
          <xdr:spPr>
            <a:xfrm>
              <a:off x="1593273" y="22352435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=2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BA5B687B-848B-4BC9-83E9-54AF85391A69}"/>
                </a:ext>
              </a:extLst>
            </xdr:cNvPr>
            <xdr:cNvSpPr txBox="1"/>
          </xdr:nvSpPr>
          <xdr:spPr>
            <a:xfrm>
              <a:off x="1593273" y="22352435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0=2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11</xdr:col>
      <xdr:colOff>0</xdr:colOff>
      <xdr:row>110</xdr:row>
      <xdr:rowOff>0</xdr:rowOff>
    </xdr:from>
    <xdr:to>
      <xdr:col>16</xdr:col>
      <xdr:colOff>627263</xdr:colOff>
      <xdr:row>124</xdr:row>
      <xdr:rowOff>84354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04985DC-EE80-494F-94FE-1AF08CE22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78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B7C0679-41DC-4F50-9C47-85002A025BC3}"/>
                </a:ext>
              </a:extLst>
            </xdr:cNvPr>
            <xdr:cNvSpPr txBox="1"/>
          </xdr:nvSpPr>
          <xdr:spPr>
            <a:xfrm>
              <a:off x="0" y="1440726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+5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−20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B7C0679-41DC-4F50-9C47-85002A025BC3}"/>
                </a:ext>
              </a:extLst>
            </xdr:cNvPr>
            <xdr:cNvSpPr txBox="1"/>
          </xdr:nvSpPr>
          <xdr:spPr>
            <a:xfrm>
              <a:off x="0" y="1440726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</a:t>
              </a:r>
              <a:r>
                <a:rPr lang="es-ES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1𝑥</a:t>
              </a:r>
              <a:r>
                <a:rPr lang="es-ES" sz="1100" b="0" i="0">
                  <a:latin typeface="Cambria Math" panose="02040503050406030204" pitchFamily="18" charset="0"/>
                </a:rPr>
                <a:t>〗^</a:t>
              </a:r>
              <a:r>
                <a:rPr lang="es-MX" sz="1100" b="0" i="0">
                  <a:latin typeface="Cambria Math" panose="02040503050406030204" pitchFamily="18" charset="0"/>
                </a:rPr>
                <a:t>2+5x−20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80</xdr:row>
      <xdr:rowOff>15035</xdr:rowOff>
    </xdr:from>
    <xdr:ext cx="151929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7EE6264-180D-44DC-9E5C-E389B347A2F7}"/>
                </a:ext>
              </a:extLst>
            </xdr:cNvPr>
            <xdr:cNvSpPr txBox="1"/>
          </xdr:nvSpPr>
          <xdr:spPr>
            <a:xfrm>
              <a:off x="0" y="14783670"/>
              <a:ext cx="15192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´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2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+5</m:t>
                    </m:r>
                  </m:oMath>
                </m:oMathPara>
              </a14:m>
              <a:endParaRPr lang="es-MX" sz="1100" b="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7EE6264-180D-44DC-9E5C-E389B347A2F7}"/>
                </a:ext>
              </a:extLst>
            </xdr:cNvPr>
            <xdr:cNvSpPr txBox="1"/>
          </xdr:nvSpPr>
          <xdr:spPr>
            <a:xfrm>
              <a:off x="0" y="14783670"/>
              <a:ext cx="15192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𝑓´(𝑥)=2x+5</a:t>
              </a:r>
              <a:endParaRPr lang="es-MX" sz="1100" b="0"/>
            </a:p>
          </xdr:txBody>
        </xdr:sp>
      </mc:Fallback>
    </mc:AlternateContent>
    <xdr:clientData/>
  </xdr:oneCellAnchor>
  <xdr:oneCellAnchor>
    <xdr:from>
      <xdr:col>3</xdr:col>
      <xdr:colOff>124046</xdr:colOff>
      <xdr:row>78</xdr:row>
      <xdr:rowOff>154118</xdr:rowOff>
    </xdr:from>
    <xdr:ext cx="43287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9438140B-E12E-4A66-86DE-A7AAF06F870C}"/>
                </a:ext>
              </a:extLst>
            </xdr:cNvPr>
            <xdr:cNvSpPr txBox="1"/>
          </xdr:nvSpPr>
          <xdr:spPr>
            <a:xfrm>
              <a:off x="2500283" y="14346368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9438140B-E12E-4A66-86DE-A7AAF06F870C}"/>
                </a:ext>
              </a:extLst>
            </xdr:cNvPr>
            <xdr:cNvSpPr txBox="1"/>
          </xdr:nvSpPr>
          <xdr:spPr>
            <a:xfrm>
              <a:off x="2500283" y="14346368"/>
              <a:ext cx="43287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0=1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10</xdr:col>
      <xdr:colOff>564978</xdr:colOff>
      <xdr:row>82</xdr:row>
      <xdr:rowOff>106843</xdr:rowOff>
    </xdr:from>
    <xdr:to>
      <xdr:col>16</xdr:col>
      <xdr:colOff>387425</xdr:colOff>
      <xdr:row>97</xdr:row>
      <xdr:rowOff>80249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FC0F654E-581A-F4E7-0C07-D3E2268F8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297180</xdr:colOff>
      <xdr:row>2</xdr:row>
      <xdr:rowOff>129540</xdr:rowOff>
    </xdr:from>
    <xdr:ext cx="1249680" cy="269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9FD144E-479C-43AA-B3C5-9C97998EB75F}"/>
                </a:ext>
              </a:extLst>
            </xdr:cNvPr>
            <xdr:cNvSpPr txBox="1"/>
          </xdr:nvSpPr>
          <xdr:spPr>
            <a:xfrm>
              <a:off x="297180" y="609600"/>
              <a:ext cx="1249680" cy="269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+1</m:t>
                      </m:r>
                    </m:sub>
                  </m:sSub>
                </m:oMath>
              </a14:m>
              <a:r>
                <a:rPr lang="es-ES" sz="1100"/>
                <a:t>=</a:t>
              </a:r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</m:oMath>
              </a14:m>
              <a:r>
                <a:rPr lang="es-ES" sz="1100"/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𝑓</m:t>
                      </m:r>
                      <m:sSub>
                        <m:sSub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𝑋</m:t>
                          </m:r>
                        </m:e>
                        <m:sub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𝑖</m:t>
                          </m:r>
                        </m:sub>
                      </m:s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)(</m:t>
                      </m:r>
                      <m:sSub>
                        <m:sSub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𝑋</m:t>
                          </m:r>
                        </m:e>
                        <m:sub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𝑖</m:t>
                          </m:r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−1</m:t>
                          </m:r>
                        </m:sub>
                      </m:s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𝑋</m:t>
                          </m:r>
                        </m:e>
                        <m:sub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𝑖</m:t>
                          </m:r>
                        </m:sub>
                      </m:s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𝑋</m:t>
                          </m:r>
                        </m:e>
                        <m:sub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−1</m:t>
                          </m:r>
                        </m:sub>
                      </m:sSub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</m:t>
                      </m:r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sSub>
                        <m:sSubPr>
                          <m:ctrlP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𝑋</m:t>
                          </m:r>
                        </m:e>
                        <m:sub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</m:sub>
                      </m:sSub>
                      <m:r>
                        <a:rPr lang="es-MX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den>
                  </m:f>
                </m:oMath>
              </a14:m>
              <a:endParaRPr lang="es-ES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9FD144E-479C-43AA-B3C5-9C97998EB75F}"/>
                </a:ext>
              </a:extLst>
            </xdr:cNvPr>
            <xdr:cNvSpPr txBox="1"/>
          </xdr:nvSpPr>
          <xdr:spPr>
            <a:xfrm>
              <a:off x="297180" y="609600"/>
              <a:ext cx="1249680" cy="269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𝑖+1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ES" sz="1100"/>
                <a:t>=</a:t>
              </a:r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</a:t>
              </a:r>
              <a:r>
                <a:rPr lang="es-ES" sz="1100"/>
                <a:t>-</a:t>
              </a:r>
              <a:r>
                <a:rPr lang="es-ES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𝑓〖(𝑋〗_𝑖)(𝑋_(𝑖−1)−𝑋_𝑖)</a:t>
              </a:r>
              <a:r>
                <a:rPr lang="es-ES" sz="1100" b="0" i="0">
                  <a:latin typeface="Cambria Math" panose="02040503050406030204" pitchFamily="18" charset="0"/>
                </a:rPr>
                <a:t>)/(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𝑓(𝑋_(𝑖−1)−𝑓(𝑋_𝑖)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274320</xdr:colOff>
      <xdr:row>5</xdr:row>
      <xdr:rowOff>144780</xdr:rowOff>
    </xdr:from>
    <xdr:ext cx="1987987" cy="320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EA78140-CACB-4689-94EE-CAAD5855BFDE}"/>
                </a:ext>
              </a:extLst>
            </xdr:cNvPr>
            <xdr:cNvSpPr txBox="1"/>
          </xdr:nvSpPr>
          <xdr:spPr>
            <a:xfrm>
              <a:off x="274320" y="1173480"/>
              <a:ext cx="1987987" cy="320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MX" sz="1100" b="0" i="1">
                      <a:latin typeface="Cambria Math" panose="02040503050406030204" pitchFamily="18" charset="0"/>
                    </a:rPr>
                    <m:t>|</m:t>
                  </m:r>
                  <m:r>
                    <a:rPr lang="az-Cyrl-AZ" sz="1100" b="0" i="1">
                      <a:latin typeface="Cambria Math" panose="02040503050406030204" pitchFamily="18" charset="0"/>
                    </a:rPr>
                    <m:t>Є</m:t>
                  </m:r>
                </m:oMath>
              </a14:m>
              <a:r>
                <a:rPr lang="es-ES" sz="1100"/>
                <a:t> a | = |</a:t>
              </a:r>
              <a14:m>
                <m:oMath xmlns:m="http://schemas.openxmlformats.org/officeDocument/2006/math">
                  <m:f>
                    <m:f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s-E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s-E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b>
                          <m:r>
                            <a:rPr lang="es-MX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b>
                      </m:sSub>
                    </m:den>
                  </m:f>
                  <m:r>
                    <a:rPr lang="es-MX" sz="11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s-MX" sz="1100" b="0" i="0">
                      <a:latin typeface="Cambria Math" panose="02040503050406030204" pitchFamily="18" charset="0"/>
                    </a:rPr>
                    <m:t>x</m:t>
                  </m:r>
                  <m:r>
                    <a:rPr lang="es-MX" sz="1100" b="0" i="0">
                      <a:latin typeface="Cambria Math" panose="02040503050406030204" pitchFamily="18" charset="0"/>
                    </a:rPr>
                    <m:t> 100%|</m:t>
                  </m:r>
                </m:oMath>
              </a14:m>
              <a:endParaRPr lang="es-ES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EA78140-CACB-4689-94EE-CAAD5855BFDE}"/>
                </a:ext>
              </a:extLst>
            </xdr:cNvPr>
            <xdr:cNvSpPr txBox="1"/>
          </xdr:nvSpPr>
          <xdr:spPr>
            <a:xfrm>
              <a:off x="274320" y="1173480"/>
              <a:ext cx="1987987" cy="320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|</a:t>
              </a:r>
              <a:r>
                <a:rPr lang="az-Cyrl-AZ" sz="1100" b="0" i="0">
                  <a:latin typeface="Cambria Math" panose="02040503050406030204" pitchFamily="18" charset="0"/>
                </a:rPr>
                <a:t>Є</a:t>
              </a:r>
              <a:r>
                <a:rPr lang="es-ES" sz="1100"/>
                <a:t> a | = |</a:t>
              </a:r>
              <a:r>
                <a:rPr lang="es-ES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2−𝑥_1</a:t>
              </a:r>
              <a:r>
                <a:rPr lang="es-ES" sz="1100" b="0" i="0">
                  <a:latin typeface="Cambria Math" panose="02040503050406030204" pitchFamily="18" charset="0"/>
                </a:rPr>
                <a:t>)/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1100" b="0" i="0">
                  <a:latin typeface="Cambria Math" panose="02040503050406030204" pitchFamily="18" charset="0"/>
                </a:rPr>
                <a:t> x 100%|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15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E6CB127-9E0C-4149-8046-4D3DFBC3293E}"/>
                </a:ext>
              </a:extLst>
            </xdr:cNvPr>
            <xdr:cNvSpPr txBox="1"/>
          </xdr:nvSpPr>
          <xdr:spPr>
            <a:xfrm>
              <a:off x="0" y="285750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E6CB127-9E0C-4149-8046-4D3DFBC3293E}"/>
                </a:ext>
              </a:extLst>
            </xdr:cNvPr>
            <xdr:cNvSpPr txBox="1"/>
          </xdr:nvSpPr>
          <xdr:spPr>
            <a:xfrm>
              <a:off x="0" y="285750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𝑓(𝑥)=𝑒</a:t>
              </a:r>
              <a:r>
                <a:rPr lang="es-ES" sz="1100" b="0" i="0">
                  <a:latin typeface="Cambria Math" panose="02040503050406030204" pitchFamily="18" charset="0"/>
                </a:rPr>
                <a:t>^(</a:t>
              </a:r>
              <a:r>
                <a:rPr lang="es-MX" sz="1100" b="0" i="0">
                  <a:latin typeface="Cambria Math" panose="02040503050406030204" pitchFamily="18" charset="0"/>
                </a:rPr>
                <a:t>−𝑥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−x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381000</xdr:colOff>
      <xdr:row>17</xdr:row>
      <xdr:rowOff>22860</xdr:rowOff>
    </xdr:from>
    <xdr:ext cx="5473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07CC092-5C96-4569-BC4B-660EB809546F}"/>
                </a:ext>
              </a:extLst>
            </xdr:cNvPr>
            <xdr:cNvSpPr txBox="1"/>
          </xdr:nvSpPr>
          <xdr:spPr>
            <a:xfrm>
              <a:off x="381000" y="3246120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07CC092-5C96-4569-BC4B-660EB809546F}"/>
                </a:ext>
              </a:extLst>
            </xdr:cNvPr>
            <xdr:cNvSpPr txBox="1"/>
          </xdr:nvSpPr>
          <xdr:spPr>
            <a:xfrm>
              <a:off x="381000" y="3246120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𝑖−1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378759</xdr:colOff>
      <xdr:row>18</xdr:row>
      <xdr:rowOff>13895</xdr:rowOff>
    </xdr:from>
    <xdr:ext cx="3352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DFA2FA-BFB8-4D3F-BB42-12ADD98E6471}"/>
                </a:ext>
              </a:extLst>
            </xdr:cNvPr>
            <xdr:cNvSpPr txBox="1"/>
          </xdr:nvSpPr>
          <xdr:spPr>
            <a:xfrm>
              <a:off x="378759" y="3433930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ES" sz="1100"/>
                <a:t>1</a:t>
              </a: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DFA2FA-BFB8-4D3F-BB42-12ADD98E6471}"/>
                </a:ext>
              </a:extLst>
            </xdr:cNvPr>
            <xdr:cNvSpPr txBox="1"/>
          </xdr:nvSpPr>
          <xdr:spPr>
            <a:xfrm>
              <a:off x="378759" y="3433930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𝑖=</a:t>
              </a:r>
              <a:r>
                <a:rPr lang="es-ES" sz="1100"/>
                <a:t>1</a:t>
              </a:r>
            </a:p>
          </xdr:txBody>
        </xdr:sp>
      </mc:Fallback>
    </mc:AlternateContent>
    <xdr:clientData/>
  </xdr:oneCellAnchor>
  <xdr:twoCellAnchor>
    <xdr:from>
      <xdr:col>12</xdr:col>
      <xdr:colOff>19791</xdr:colOff>
      <xdr:row>14</xdr:row>
      <xdr:rowOff>73232</xdr:rowOff>
    </xdr:from>
    <xdr:to>
      <xdr:col>17</xdr:col>
      <xdr:colOff>633350</xdr:colOff>
      <xdr:row>29</xdr:row>
      <xdr:rowOff>144484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B7A9737-7084-74A0-090B-75EF15875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34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E4A778EA-B808-4053-9B65-50DE0D3344FC}"/>
                </a:ext>
              </a:extLst>
            </xdr:cNvPr>
            <xdr:cNvSpPr txBox="1"/>
          </xdr:nvSpPr>
          <xdr:spPr>
            <a:xfrm>
              <a:off x="0" y="641521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=4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−5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E4A778EA-B808-4053-9B65-50DE0D3344FC}"/>
                </a:ext>
              </a:extLst>
            </xdr:cNvPr>
            <xdr:cNvSpPr txBox="1"/>
          </xdr:nvSpPr>
          <xdr:spPr>
            <a:xfrm>
              <a:off x="0" y="641521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𝑓(𝑥)=4𝑥</a:t>
              </a:r>
              <a:r>
                <a:rPr lang="es-ES" sz="1100" b="0" i="0"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2−5x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123568</xdr:colOff>
      <xdr:row>35</xdr:row>
      <xdr:rowOff>180202</xdr:rowOff>
    </xdr:from>
    <xdr:ext cx="3352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E144286B-7D0B-4907-9C11-6FB9C232F3F7}"/>
                </a:ext>
              </a:extLst>
            </xdr:cNvPr>
            <xdr:cNvSpPr txBox="1"/>
          </xdr:nvSpPr>
          <xdr:spPr>
            <a:xfrm>
              <a:off x="123568" y="6780770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ES" sz="1100"/>
                <a:t>1</a:t>
              </a:r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E144286B-7D0B-4907-9C11-6FB9C232F3F7}"/>
                </a:ext>
              </a:extLst>
            </xdr:cNvPr>
            <xdr:cNvSpPr txBox="1"/>
          </xdr:nvSpPr>
          <xdr:spPr>
            <a:xfrm>
              <a:off x="123568" y="6780770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𝑖=</a:t>
              </a:r>
              <a:r>
                <a:rPr lang="es-ES" sz="1100"/>
                <a:t>1</a:t>
              </a:r>
            </a:p>
          </xdr:txBody>
        </xdr:sp>
      </mc:Fallback>
    </mc:AlternateContent>
    <xdr:clientData/>
  </xdr:oneCellAnchor>
  <xdr:oneCellAnchor>
    <xdr:from>
      <xdr:col>0</xdr:col>
      <xdr:colOff>77230</xdr:colOff>
      <xdr:row>37</xdr:row>
      <xdr:rowOff>0</xdr:rowOff>
    </xdr:from>
    <xdr:ext cx="5768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911A566-ADC2-4E92-B028-3E4947908C35}"/>
                </a:ext>
              </a:extLst>
            </xdr:cNvPr>
            <xdr:cNvSpPr txBox="1"/>
          </xdr:nvSpPr>
          <xdr:spPr>
            <a:xfrm>
              <a:off x="77230" y="6971270"/>
              <a:ext cx="5768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−1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ES" sz="1100"/>
                <a:t>1.6</a:t>
              </a: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911A566-ADC2-4E92-B028-3E4947908C35}"/>
                </a:ext>
              </a:extLst>
            </xdr:cNvPr>
            <xdr:cNvSpPr txBox="1"/>
          </xdr:nvSpPr>
          <xdr:spPr>
            <a:xfrm>
              <a:off x="77230" y="6971270"/>
              <a:ext cx="5768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𝑖−1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</a:t>
              </a:r>
              <a:r>
                <a:rPr lang="es-ES" sz="1100"/>
                <a:t>1.6</a:t>
              </a:r>
            </a:p>
          </xdr:txBody>
        </xdr:sp>
      </mc:Fallback>
    </mc:AlternateContent>
    <xdr:clientData/>
  </xdr:oneCellAnchor>
  <xdr:twoCellAnchor>
    <xdr:from>
      <xdr:col>12</xdr:col>
      <xdr:colOff>28864</xdr:colOff>
      <xdr:row>33</xdr:row>
      <xdr:rowOff>158173</xdr:rowOff>
    </xdr:from>
    <xdr:to>
      <xdr:col>17</xdr:col>
      <xdr:colOff>617682</xdr:colOff>
      <xdr:row>48</xdr:row>
      <xdr:rowOff>130464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15C55EF-E781-3A13-F3C7-DA515C8A9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50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C4C8D95-4460-4D93-90B3-C6BC069D1300}"/>
                </a:ext>
              </a:extLst>
            </xdr:cNvPr>
            <xdr:cNvSpPr txBox="1"/>
          </xdr:nvSpPr>
          <xdr:spPr>
            <a:xfrm>
              <a:off x="0" y="922682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−5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+1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C4C8D95-4460-4D93-90B3-C6BC069D1300}"/>
                </a:ext>
              </a:extLst>
            </xdr:cNvPr>
            <xdr:cNvSpPr txBox="1"/>
          </xdr:nvSpPr>
          <xdr:spPr>
            <a:xfrm>
              <a:off x="0" y="9226826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𝑓(𝑥)=𝑥</a:t>
              </a:r>
              <a:r>
                <a:rPr lang="es-ES" sz="1100" b="0" i="0"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3−5x+1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46338</xdr:colOff>
      <xdr:row>50</xdr:row>
      <xdr:rowOff>0</xdr:rowOff>
    </xdr:from>
    <xdr:ext cx="3352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81F40C91-9278-4E30-BF8D-4E9ED0BC3BD4}"/>
                </a:ext>
              </a:extLst>
            </xdr:cNvPr>
            <xdr:cNvSpPr txBox="1"/>
          </xdr:nvSpPr>
          <xdr:spPr>
            <a:xfrm>
              <a:off x="2417005" y="9285111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ES" sz="1100"/>
                <a:t>1</a:t>
              </a:r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81F40C91-9278-4E30-BF8D-4E9ED0BC3BD4}"/>
                </a:ext>
              </a:extLst>
            </xdr:cNvPr>
            <xdr:cNvSpPr txBox="1"/>
          </xdr:nvSpPr>
          <xdr:spPr>
            <a:xfrm>
              <a:off x="2417005" y="9285111"/>
              <a:ext cx="3352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𝑖=</a:t>
              </a:r>
              <a:r>
                <a:rPr lang="es-ES" sz="1100"/>
                <a:t>1</a:t>
              </a:r>
            </a:p>
          </xdr:txBody>
        </xdr:sp>
      </mc:Fallback>
    </mc:AlternateContent>
    <xdr:clientData/>
  </xdr:oneCellAnchor>
  <xdr:oneCellAnchor>
    <xdr:from>
      <xdr:col>3</xdr:col>
      <xdr:colOff>0</xdr:colOff>
      <xdr:row>51</xdr:row>
      <xdr:rowOff>3242</xdr:rowOff>
    </xdr:from>
    <xdr:ext cx="4697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93F640A-A1ED-4559-BB90-83BBDED9B9C4}"/>
                </a:ext>
              </a:extLst>
            </xdr:cNvPr>
            <xdr:cNvSpPr txBox="1"/>
          </xdr:nvSpPr>
          <xdr:spPr>
            <a:xfrm>
              <a:off x="2370667" y="9471798"/>
              <a:ext cx="4697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E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−1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ES" sz="1100"/>
                <a:t>0</a:t>
              </a:r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93F640A-A1ED-4559-BB90-83BBDED9B9C4}"/>
                </a:ext>
              </a:extLst>
            </xdr:cNvPr>
            <xdr:cNvSpPr txBox="1"/>
          </xdr:nvSpPr>
          <xdr:spPr>
            <a:xfrm>
              <a:off x="2370667" y="9471798"/>
              <a:ext cx="4697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𝑖−1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</a:t>
              </a:r>
              <a:r>
                <a:rPr lang="es-ES" sz="1100"/>
                <a:t>0</a:t>
              </a:r>
            </a:p>
          </xdr:txBody>
        </xdr:sp>
      </mc:Fallback>
    </mc:AlternateContent>
    <xdr:clientData/>
  </xdr:oneCellAnchor>
  <xdr:oneCellAnchor>
    <xdr:from>
      <xdr:col>0</xdr:col>
      <xdr:colOff>0</xdr:colOff>
      <xdr:row>67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7A86196-DD8C-4436-98DD-6DCB00BBDBD2}"/>
                </a:ext>
              </a:extLst>
            </xdr:cNvPr>
            <xdr:cNvSpPr txBox="1"/>
          </xdr:nvSpPr>
          <xdr:spPr>
            <a:xfrm>
              <a:off x="0" y="12166315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−2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−5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7A86196-DD8C-4436-98DD-6DCB00BBDBD2}"/>
                </a:ext>
              </a:extLst>
            </xdr:cNvPr>
            <xdr:cNvSpPr txBox="1"/>
          </xdr:nvSpPr>
          <xdr:spPr>
            <a:xfrm>
              <a:off x="0" y="12166315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𝑓(𝑥)=𝑥</a:t>
              </a:r>
              <a:r>
                <a:rPr lang="es-ES" sz="1100" b="0" i="0"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3−2x−5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46338</xdr:colOff>
      <xdr:row>67</xdr:row>
      <xdr:rowOff>0</xdr:rowOff>
    </xdr:from>
    <xdr:ext cx="4129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ADE2593D-ED8C-4A66-B984-21999756ECE7}"/>
                </a:ext>
              </a:extLst>
            </xdr:cNvPr>
            <xdr:cNvSpPr txBox="1"/>
          </xdr:nvSpPr>
          <xdr:spPr>
            <a:xfrm>
              <a:off x="2423778" y="12367260"/>
              <a:ext cx="4129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ADE2593D-ED8C-4A66-B984-21999756ECE7}"/>
                </a:ext>
              </a:extLst>
            </xdr:cNvPr>
            <xdr:cNvSpPr txBox="1"/>
          </xdr:nvSpPr>
          <xdr:spPr>
            <a:xfrm>
              <a:off x="2423778" y="12367260"/>
              <a:ext cx="4129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𝑖=3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68</xdr:row>
      <xdr:rowOff>3242</xdr:rowOff>
    </xdr:from>
    <xdr:ext cx="5473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5252F652-1C24-4332-A7EC-3353BACDEB2D}"/>
                </a:ext>
              </a:extLst>
            </xdr:cNvPr>
            <xdr:cNvSpPr txBox="1"/>
          </xdr:nvSpPr>
          <xdr:spPr>
            <a:xfrm>
              <a:off x="2377440" y="12553382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=2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5252F652-1C24-4332-A7EC-3353BACDEB2D}"/>
                </a:ext>
              </a:extLst>
            </xdr:cNvPr>
            <xdr:cNvSpPr txBox="1"/>
          </xdr:nvSpPr>
          <xdr:spPr>
            <a:xfrm>
              <a:off x="2377440" y="12553382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𝑖−1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=2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12</xdr:col>
      <xdr:colOff>17892</xdr:colOff>
      <xdr:row>50</xdr:row>
      <xdr:rowOff>83862</xdr:rowOff>
    </xdr:from>
    <xdr:to>
      <xdr:col>17</xdr:col>
      <xdr:colOff>225778</xdr:colOff>
      <xdr:row>63</xdr:row>
      <xdr:rowOff>127002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283CEB59-89DD-DAE9-E1EE-31B1D1BA7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769189</xdr:colOff>
      <xdr:row>66</xdr:row>
      <xdr:rowOff>94891</xdr:rowOff>
    </xdr:from>
    <xdr:to>
      <xdr:col>17</xdr:col>
      <xdr:colOff>596661</xdr:colOff>
      <xdr:row>81</xdr:row>
      <xdr:rowOff>34506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E140D40-354F-2C57-717A-54CA88195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0</xdr:colOff>
      <xdr:row>86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1F6EA29-0203-4C02-9859-12F7B3AD4272}"/>
                </a:ext>
              </a:extLst>
            </xdr:cNvPr>
            <xdr:cNvSpPr txBox="1"/>
          </xdr:nvSpPr>
          <xdr:spPr>
            <a:xfrm>
              <a:off x="0" y="15965129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−2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1F6EA29-0203-4C02-9859-12F7B3AD4272}"/>
                </a:ext>
              </a:extLst>
            </xdr:cNvPr>
            <xdr:cNvSpPr txBox="1"/>
          </xdr:nvSpPr>
          <xdr:spPr>
            <a:xfrm>
              <a:off x="0" y="15965129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𝑓(𝑥)=𝑥</a:t>
              </a:r>
              <a:r>
                <a:rPr lang="es-ES" sz="1100" b="0" i="0"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2−2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46338</xdr:colOff>
      <xdr:row>86</xdr:row>
      <xdr:rowOff>0</xdr:rowOff>
    </xdr:from>
    <xdr:ext cx="4129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EF31C6AC-F6E0-44B3-924C-9BEAB677A312}"/>
                </a:ext>
              </a:extLst>
            </xdr:cNvPr>
            <xdr:cNvSpPr txBox="1"/>
          </xdr:nvSpPr>
          <xdr:spPr>
            <a:xfrm>
              <a:off x="2442951" y="15965129"/>
              <a:ext cx="4129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EF31C6AC-F6E0-44B3-924C-9BEAB677A312}"/>
                </a:ext>
              </a:extLst>
            </xdr:cNvPr>
            <xdr:cNvSpPr txBox="1"/>
          </xdr:nvSpPr>
          <xdr:spPr>
            <a:xfrm>
              <a:off x="2442951" y="15965129"/>
              <a:ext cx="4129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𝑖=2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87</xdr:row>
      <xdr:rowOff>3242</xdr:rowOff>
    </xdr:from>
    <xdr:ext cx="5473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D608206-BB54-4433-BE6E-95E99D52BFBC}"/>
                </a:ext>
              </a:extLst>
            </xdr:cNvPr>
            <xdr:cNvSpPr txBox="1"/>
          </xdr:nvSpPr>
          <xdr:spPr>
            <a:xfrm>
              <a:off x="2396613" y="16152726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D608206-BB54-4433-BE6E-95E99D52BFBC}"/>
                </a:ext>
              </a:extLst>
            </xdr:cNvPr>
            <xdr:cNvSpPr txBox="1"/>
          </xdr:nvSpPr>
          <xdr:spPr>
            <a:xfrm>
              <a:off x="2396613" y="16152726"/>
              <a:ext cx="547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𝑥</a:t>
              </a:r>
              <a:r>
                <a:rPr lang="es-ES" sz="1100" b="0" i="0">
                  <a:latin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</a:rPr>
                <a:t>𝑖−1</a:t>
              </a:r>
              <a:r>
                <a:rPr lang="es-ES" sz="1100" b="0" i="0"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</a:rPr>
                <a:t>=1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11</xdr:col>
      <xdr:colOff>745067</xdr:colOff>
      <xdr:row>86</xdr:row>
      <xdr:rowOff>25400</xdr:rowOff>
    </xdr:from>
    <xdr:to>
      <xdr:col>17</xdr:col>
      <xdr:colOff>541867</xdr:colOff>
      <xdr:row>100</xdr:row>
      <xdr:rowOff>160867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5B2E8FC7-1B10-248D-0621-2B5B2183E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3</xdr:row>
      <xdr:rowOff>68580</xdr:rowOff>
    </xdr:from>
    <xdr:ext cx="2072640" cy="4658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0DD9AA4-CDE9-44C5-92D5-0F955D32DB65}"/>
                </a:ext>
              </a:extLst>
            </xdr:cNvPr>
            <xdr:cNvSpPr txBox="1"/>
          </xdr:nvSpPr>
          <xdr:spPr>
            <a:xfrm>
              <a:off x="259080" y="730431"/>
              <a:ext cx="2072640" cy="465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600" b="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𝑏</m:t>
                        </m:r>
                      </m:num>
                      <m:den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ES" sz="1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0DD9AA4-CDE9-44C5-92D5-0F955D32DB65}"/>
                </a:ext>
              </a:extLst>
            </xdr:cNvPr>
            <xdr:cNvSpPr txBox="1"/>
          </xdr:nvSpPr>
          <xdr:spPr>
            <a:xfrm>
              <a:off x="259080" y="730431"/>
              <a:ext cx="2072640" cy="465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600" b="0" i="0">
                  <a:latin typeface="Cambria Math" panose="02040503050406030204" pitchFamily="18" charset="0"/>
                </a:rPr>
                <a:t>𝑐=(𝑎+𝑏)/2</a:t>
              </a:r>
              <a:endParaRPr lang="es-ES" sz="1600"/>
            </a:p>
          </xdr:txBody>
        </xdr:sp>
      </mc:Fallback>
    </mc:AlternateContent>
    <xdr:clientData/>
  </xdr:oneCellAnchor>
  <xdr:oneCellAnchor>
    <xdr:from>
      <xdr:col>0</xdr:col>
      <xdr:colOff>0</xdr:colOff>
      <xdr:row>14</xdr:row>
      <xdr:rowOff>182880</xdr:rowOff>
    </xdr:from>
    <xdr:ext cx="965329" cy="3475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2907325-4E08-4CE6-8155-4EFDC54D918C}"/>
                </a:ext>
              </a:extLst>
            </xdr:cNvPr>
            <xdr:cNvSpPr txBox="1"/>
          </xdr:nvSpPr>
          <xdr:spPr>
            <a:xfrm>
              <a:off x="0" y="2856411"/>
              <a:ext cx="965329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10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MX" sz="1100" b="0"/>
            </a:p>
            <a:p>
              <a:endParaRPr lang="es-MX" sz="1100" b="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2907325-4E08-4CE6-8155-4EFDC54D918C}"/>
                </a:ext>
              </a:extLst>
            </xdr:cNvPr>
            <xdr:cNvSpPr txBox="1"/>
          </xdr:nvSpPr>
          <xdr:spPr>
            <a:xfrm>
              <a:off x="0" y="2856411"/>
              <a:ext cx="965329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𝑓(𝑥)=𝑥^10−1</a:t>
              </a:r>
              <a:endParaRPr lang="es-MX" sz="1100" b="0"/>
            </a:p>
            <a:p>
              <a:pPr/>
              <a:endParaRPr lang="es-MX" sz="1100" b="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29206</xdr:rowOff>
    </xdr:from>
    <xdr:ext cx="65" cy="172227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AB73B65-A927-4AB1-9127-8479198153EF}"/>
            </a:ext>
          </a:extLst>
        </xdr:cNvPr>
        <xdr:cNvSpPr txBox="1"/>
      </xdr:nvSpPr>
      <xdr:spPr>
        <a:xfrm>
          <a:off x="0" y="30684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2</xdr:col>
      <xdr:colOff>388620</xdr:colOff>
      <xdr:row>14</xdr:row>
      <xdr:rowOff>148027</xdr:rowOff>
    </xdr:from>
    <xdr:ext cx="65" cy="344453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0CB095E-85C7-4B53-9F72-B5E2CAAF9BA5}"/>
            </a:ext>
          </a:extLst>
        </xdr:cNvPr>
        <xdr:cNvSpPr txBox="1"/>
      </xdr:nvSpPr>
      <xdr:spPr>
        <a:xfrm>
          <a:off x="1973580" y="2821558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  <a:p>
          <a:endParaRPr lang="es-ES" sz="1100"/>
        </a:p>
      </xdr:txBody>
    </xdr:sp>
    <xdr:clientData/>
  </xdr:oneCellAnchor>
  <xdr:oneCellAnchor>
    <xdr:from>
      <xdr:col>0</xdr:col>
      <xdr:colOff>0</xdr:colOff>
      <xdr:row>40</xdr:row>
      <xdr:rowOff>0</xdr:rowOff>
    </xdr:from>
    <xdr:ext cx="1765426" cy="2001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D13EE297-18F4-4060-B486-D17CCDD3B81C}"/>
                </a:ext>
              </a:extLst>
            </xdr:cNvPr>
            <xdr:cNvSpPr txBox="1"/>
          </xdr:nvSpPr>
          <xdr:spPr>
            <a:xfrm>
              <a:off x="0" y="7504545"/>
              <a:ext cx="1765426" cy="2001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−8</m:t>
                    </m:r>
                  </m:oMath>
                </m:oMathPara>
              </a14:m>
              <a:endParaRPr lang="es-MX" sz="1100" b="0"/>
            </a:p>
            <a:p>
              <a:endParaRPr lang="es-MX" sz="1100" b="0"/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D13EE297-18F4-4060-B486-D17CCDD3B81C}"/>
                </a:ext>
              </a:extLst>
            </xdr:cNvPr>
            <xdr:cNvSpPr txBox="1"/>
          </xdr:nvSpPr>
          <xdr:spPr>
            <a:xfrm>
              <a:off x="0" y="7504545"/>
              <a:ext cx="1765426" cy="2001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𝑓(𝑥)=𝑥^3−𝑥−8</a:t>
              </a:r>
              <a:endParaRPr lang="es-MX" sz="1100" b="0"/>
            </a:p>
            <a:p>
              <a:endParaRPr lang="es-MX" sz="1100" b="0"/>
            </a:p>
            <a:p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83820</xdr:colOff>
      <xdr:row>40</xdr:row>
      <xdr:rowOff>136594</xdr:rowOff>
    </xdr:from>
    <xdr:ext cx="65" cy="172227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9AF65C0-4CB7-4860-A613-D4878B5F7FAD}"/>
            </a:ext>
          </a:extLst>
        </xdr:cNvPr>
        <xdr:cNvSpPr txBox="1"/>
      </xdr:nvSpPr>
      <xdr:spPr>
        <a:xfrm>
          <a:off x="2463765" y="77565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75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2FE64E5-A959-4A31-AF28-CEB111348A81}"/>
                </a:ext>
              </a:extLst>
            </xdr:cNvPr>
            <xdr:cNvSpPr txBox="1"/>
          </xdr:nvSpPr>
          <xdr:spPr>
            <a:xfrm>
              <a:off x="0" y="1035558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+10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−20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2FE64E5-A959-4A31-AF28-CEB111348A81}"/>
                </a:ext>
              </a:extLst>
            </xdr:cNvPr>
            <xdr:cNvSpPr txBox="1"/>
          </xdr:nvSpPr>
          <xdr:spPr>
            <a:xfrm>
              <a:off x="0" y="1035558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</a:t>
              </a:r>
              <a:r>
                <a:rPr lang="es-ES" sz="1100" i="0">
                  <a:latin typeface="Cambria Math" panose="02040503050406030204" pitchFamily="18" charset="0"/>
                </a:rPr>
                <a:t>〖</a:t>
              </a:r>
              <a:r>
                <a:rPr lang="es-MX" sz="1100" b="0" i="0">
                  <a:latin typeface="Cambria Math" panose="02040503050406030204" pitchFamily="18" charset="0"/>
                </a:rPr>
                <a:t>2𝑥</a:t>
              </a:r>
              <a:r>
                <a:rPr lang="es-ES" sz="1100" b="0" i="0">
                  <a:latin typeface="Cambria Math" panose="02040503050406030204" pitchFamily="18" charset="0"/>
                </a:rPr>
                <a:t>〗^</a:t>
              </a:r>
              <a:r>
                <a:rPr lang="es-MX" sz="1100" b="0" i="0">
                  <a:latin typeface="Cambria Math" panose="02040503050406030204" pitchFamily="18" charset="0"/>
                </a:rPr>
                <a:t>2+10x−20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124046</xdr:colOff>
      <xdr:row>75</xdr:row>
      <xdr:rowOff>154118</xdr:rowOff>
    </xdr:from>
    <xdr:ext cx="65" cy="172227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4B0C60A3-1FB9-4A13-8730-EE4BABAC900A}"/>
            </a:ext>
          </a:extLst>
        </xdr:cNvPr>
        <xdr:cNvSpPr txBox="1"/>
      </xdr:nvSpPr>
      <xdr:spPr>
        <a:xfrm>
          <a:off x="2498823" y="1413644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135</xdr:row>
      <xdr:rowOff>181027</xdr:rowOff>
    </xdr:from>
    <xdr:ext cx="1272702" cy="3475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CA3F4D5-F536-4B14-A053-5AD0E345D107}"/>
                </a:ext>
              </a:extLst>
            </xdr:cNvPr>
            <xdr:cNvSpPr txBox="1"/>
          </xdr:nvSpPr>
          <xdr:spPr>
            <a:xfrm>
              <a:off x="0" y="24737635"/>
              <a:ext cx="1272702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−25</m:t>
                    </m:r>
                  </m:oMath>
                </m:oMathPara>
              </a14:m>
              <a:endParaRPr lang="es-MX" sz="1100" b="0"/>
            </a:p>
            <a:p>
              <a:endParaRPr lang="es-MX" sz="1100" b="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CA3F4D5-F536-4B14-A053-5AD0E345D107}"/>
                </a:ext>
              </a:extLst>
            </xdr:cNvPr>
            <xdr:cNvSpPr txBox="1"/>
          </xdr:nvSpPr>
          <xdr:spPr>
            <a:xfrm>
              <a:off x="0" y="24737635"/>
              <a:ext cx="1272702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𝑓(𝑥)=𝑥^3−25</a:t>
              </a:r>
              <a:endParaRPr lang="es-MX" sz="1100" b="0"/>
            </a:p>
            <a:p>
              <a:pPr/>
              <a:endParaRPr lang="es-MX" sz="1100" b="0"/>
            </a:p>
          </xdr:txBody>
        </xdr:sp>
      </mc:Fallback>
    </mc:AlternateContent>
    <xdr:clientData/>
  </xdr:oneCellAnchor>
  <xdr:oneCellAnchor>
    <xdr:from>
      <xdr:col>0</xdr:col>
      <xdr:colOff>0</xdr:colOff>
      <xdr:row>137</xdr:row>
      <xdr:rowOff>150221</xdr:rowOff>
    </xdr:from>
    <xdr:ext cx="1272702" cy="172227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8E9BAFB9-6B8E-4C3D-8BC9-E83D7136044C}"/>
            </a:ext>
          </a:extLst>
        </xdr:cNvPr>
        <xdr:cNvSpPr txBox="1"/>
      </xdr:nvSpPr>
      <xdr:spPr>
        <a:xfrm>
          <a:off x="0" y="25068884"/>
          <a:ext cx="127270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2</xdr:col>
      <xdr:colOff>11764</xdr:colOff>
      <xdr:row>138</xdr:row>
      <xdr:rowOff>1520</xdr:rowOff>
    </xdr:from>
    <xdr:ext cx="65" cy="172227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6A9C5EE0-013C-4F57-A86F-5A75AC6B506D}"/>
            </a:ext>
          </a:extLst>
        </xdr:cNvPr>
        <xdr:cNvSpPr txBox="1"/>
      </xdr:nvSpPr>
      <xdr:spPr>
        <a:xfrm>
          <a:off x="1594703" y="251012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twoCellAnchor>
    <xdr:from>
      <xdr:col>14</xdr:col>
      <xdr:colOff>1</xdr:colOff>
      <xdr:row>19</xdr:row>
      <xdr:rowOff>171773</xdr:rowOff>
    </xdr:from>
    <xdr:to>
      <xdr:col>19</xdr:col>
      <xdr:colOff>600560</xdr:colOff>
      <xdr:row>35</xdr:row>
      <xdr:rowOff>21956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97DF537B-0486-24D9-913C-C1227979A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220578</xdr:colOff>
      <xdr:row>43</xdr:row>
      <xdr:rowOff>165768</xdr:rowOff>
    </xdr:from>
    <xdr:to>
      <xdr:col>20</xdr:col>
      <xdr:colOff>60157</xdr:colOff>
      <xdr:row>58</xdr:row>
      <xdr:rowOff>101600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D34C54DA-8662-B045-B591-DB8057D1E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247316</xdr:colOff>
      <xdr:row>76</xdr:row>
      <xdr:rowOff>179138</xdr:rowOff>
    </xdr:from>
    <xdr:to>
      <xdr:col>20</xdr:col>
      <xdr:colOff>86895</xdr:colOff>
      <xdr:row>91</xdr:row>
      <xdr:rowOff>114969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9D5D4FFB-7708-BD01-A3CF-0E8D4AAF2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233947</xdr:colOff>
      <xdr:row>139</xdr:row>
      <xdr:rowOff>5346</xdr:rowOff>
    </xdr:from>
    <xdr:to>
      <xdr:col>19</xdr:col>
      <xdr:colOff>73526</xdr:colOff>
      <xdr:row>153</xdr:row>
      <xdr:rowOff>128336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A63B5712-AD58-4E73-CDF5-418034DFE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726831</xdr:colOff>
      <xdr:row>102</xdr:row>
      <xdr:rowOff>29307</xdr:rowOff>
    </xdr:from>
    <xdr:to>
      <xdr:col>17</xdr:col>
      <xdr:colOff>762000</xdr:colOff>
      <xdr:row>116</xdr:row>
      <xdr:rowOff>146538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680703</xdr:colOff>
      <xdr:row>3</xdr:row>
      <xdr:rowOff>58890</xdr:rowOff>
    </xdr:from>
    <xdr:ext cx="2473270" cy="4494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7FC90DE-2BA8-404E-BF43-8CDA43D0063C}"/>
                </a:ext>
              </a:extLst>
            </xdr:cNvPr>
            <xdr:cNvSpPr txBox="1"/>
          </xdr:nvSpPr>
          <xdr:spPr>
            <a:xfrm>
              <a:off x="680703" y="719963"/>
              <a:ext cx="2473270" cy="4494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/>
              <a:r>
                <a:rPr lang="es-ES" sz="1800">
                  <a:latin typeface="Cambria Math" panose="02040503050406030204" pitchFamily="18" charset="0"/>
                  <a:ea typeface="Cambria Math" panose="02040503050406030204" pitchFamily="18" charset="0"/>
                </a:rPr>
                <a:t>c=b-</a:t>
              </a:r>
              <a14:m>
                <m:oMath xmlns:m="http://schemas.openxmlformats.org/officeDocument/2006/math">
                  <m:f>
                    <m:fPr>
                      <m:ctrlPr>
                        <a:rPr lang="es-ES" sz="1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𝑓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(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𝑏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)(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𝑏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  <m:r>
                        <a:rPr lang="es-MX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𝑓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(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𝑏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)−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𝑓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(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𝑎</m:t>
                      </m:r>
                      <m:r>
                        <a:rPr lang="es-MX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)</m:t>
                      </m:r>
                    </m:den>
                  </m:f>
                </m:oMath>
              </a14:m>
              <a:endParaRPr lang="es-ES" sz="18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7FC90DE-2BA8-404E-BF43-8CDA43D0063C}"/>
                </a:ext>
              </a:extLst>
            </xdr:cNvPr>
            <xdr:cNvSpPr txBox="1"/>
          </xdr:nvSpPr>
          <xdr:spPr>
            <a:xfrm>
              <a:off x="680703" y="719963"/>
              <a:ext cx="2473270" cy="4494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/>
              <a:r>
                <a:rPr lang="es-ES" sz="1800">
                  <a:latin typeface="Cambria Math" panose="02040503050406030204" pitchFamily="18" charset="0"/>
                  <a:ea typeface="Cambria Math" panose="02040503050406030204" pitchFamily="18" charset="0"/>
                </a:rPr>
                <a:t>c=b-</a:t>
              </a:r>
              <a:r>
                <a:rPr lang="es-ES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s-MX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𝑓(𝑏)(𝑏−𝑎)</a:t>
              </a:r>
              <a:r>
                <a:rPr lang="es-E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s-MX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𝑓(𝑏)−𝑓(𝑎)</a:t>
              </a:r>
              <a:r>
                <a:rPr lang="es-E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ES" sz="18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274320</xdr:colOff>
      <xdr:row>5</xdr:row>
      <xdr:rowOff>144780</xdr:rowOff>
    </xdr:from>
    <xdr:ext cx="1987987" cy="3208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C5CB3BF-B4BD-4D05-B6A6-0DAF5A452B0B}"/>
            </a:ext>
          </a:extLst>
        </xdr:cNvPr>
        <xdr:cNvSpPr txBox="1"/>
      </xdr:nvSpPr>
      <xdr:spPr>
        <a:xfrm>
          <a:off x="274320" y="1173480"/>
          <a:ext cx="1987987" cy="3208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17</xdr:row>
      <xdr:rowOff>0</xdr:rowOff>
    </xdr:from>
    <xdr:ext cx="2241826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E67740A-7897-49EB-82B7-BDD594ED6BD7}"/>
                </a:ext>
              </a:extLst>
            </xdr:cNvPr>
            <xdr:cNvSpPr txBox="1"/>
          </xdr:nvSpPr>
          <xdr:spPr>
            <a:xfrm>
              <a:off x="0" y="3213652"/>
              <a:ext cx="2241826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lvl="1" rtl="0"/>
              <a14:m>
                <m:oMath xmlns:m="http://schemas.openxmlformats.org/officeDocument/2006/math">
                  <m:r>
                    <a:rPr lang="es-MX" sz="1400" b="0" i="1">
                      <a:latin typeface="Cambria Math" panose="02040503050406030204" pitchFamily="18" charset="0"/>
                    </a:rPr>
                    <m:t>𝑓</m:t>
                  </m:r>
                  <m:r>
                    <a:rPr lang="es-MX" sz="1400" b="0" i="1">
                      <a:latin typeface="Cambria Math" panose="02040503050406030204" pitchFamily="18" charset="0"/>
                    </a:rPr>
                    <m:t>(</m:t>
                  </m:r>
                  <m:r>
                    <a:rPr lang="es-MX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𝑥</m:t>
                  </m:r>
                  <m:r>
                    <a:rPr lang="es-MX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)=</m:t>
                  </m:r>
                  <m:f>
                    <m:fPr>
                      <m:ctrlPr>
                        <a:rPr lang="es-MX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fPr>
                    <m:num>
                      <m:r>
                        <a:rPr lang="el-GR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𝜋</m:t>
                      </m:r>
                      <m:r>
                        <a:rPr lang="es-MX" sz="14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(</m:t>
                      </m:r>
                      <m:r>
                        <m:rPr>
                          <m:nor/>
                        </m:rPr>
                        <a:rPr lang="es-ES" sz="1400" b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1−</m:t>
                      </m:r>
                      <m:r>
                        <m:rPr>
                          <m:nor/>
                        </m:rPr>
                        <a:rPr lang="es-MX" sz="14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 </m:t>
                      </m:r>
                      <m:sSup>
                        <m:sSupPr>
                          <m:ctrlPr>
                            <a:rPr lang="es-ES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sSupPr>
                        <m:e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𝑒</m:t>
                          </m:r>
                        </m:e>
                        <m:sup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−</m:t>
                          </m:r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𝑥</m:t>
                          </m:r>
                        </m:sup>
                      </m:sSup>
                      <m:r>
                        <a:rPr lang="es-MX" sz="14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)</m:t>
                      </m:r>
                    </m:num>
                    <m:den>
                      <m:r>
                        <a:rPr lang="es-MX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𝑥</m:t>
                      </m:r>
                    </m:den>
                  </m:f>
                </m:oMath>
              </a14:m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0.5</a:t>
              </a:r>
            </a:p>
            <a:p>
              <a:pPr rtl="0"/>
              <a:endParaRPr lang="es-MX" sz="14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E67740A-7897-49EB-82B7-BDD594ED6BD7}"/>
                </a:ext>
              </a:extLst>
            </xdr:cNvPr>
            <xdr:cNvSpPr txBox="1"/>
          </xdr:nvSpPr>
          <xdr:spPr>
            <a:xfrm>
              <a:off x="0" y="3213652"/>
              <a:ext cx="2241826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lvl="1" rtl="0"/>
              <a:r>
                <a:rPr lang="es-MX" sz="1400" b="0" i="0">
                  <a:latin typeface="Cambria Math" panose="02040503050406030204" pitchFamily="18" charset="0"/>
                </a:rPr>
                <a:t>𝑓(</a:t>
              </a:r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𝑥)=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</a:t>
              </a:r>
              <a:r>
                <a:rPr lang="el-G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𝜋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"1-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 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 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𝑒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^(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−𝑥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))/𝑥 0.5</a:t>
              </a:r>
            </a:p>
            <a:p>
              <a:pPr rtl="0"/>
              <a:endParaRPr lang="es-MX" sz="14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0</xdr:col>
      <xdr:colOff>381000</xdr:colOff>
      <xdr:row>19</xdr:row>
      <xdr:rowOff>22860</xdr:rowOff>
    </xdr:from>
    <xdr:ext cx="65" cy="172227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3D4487E-75B2-40FC-BCAA-19D875831C9F}"/>
            </a:ext>
          </a:extLst>
        </xdr:cNvPr>
        <xdr:cNvSpPr txBox="1"/>
      </xdr:nvSpPr>
      <xdr:spPr>
        <a:xfrm>
          <a:off x="381000" y="36009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 b="0"/>
        </a:p>
      </xdr:txBody>
    </xdr:sp>
    <xdr:clientData/>
  </xdr:oneCellAnchor>
  <xdr:oneCellAnchor>
    <xdr:from>
      <xdr:col>0</xdr:col>
      <xdr:colOff>378759</xdr:colOff>
      <xdr:row>20</xdr:row>
      <xdr:rowOff>13895</xdr:rowOff>
    </xdr:from>
    <xdr:ext cx="65" cy="172227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32BD866-711C-4C95-B239-426F58CEF7D3}"/>
            </a:ext>
          </a:extLst>
        </xdr:cNvPr>
        <xdr:cNvSpPr txBox="1"/>
      </xdr:nvSpPr>
      <xdr:spPr>
        <a:xfrm>
          <a:off x="378759" y="377419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47</xdr:row>
      <xdr:rowOff>0</xdr:rowOff>
    </xdr:from>
    <xdr:ext cx="1765426" cy="3475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B0C4568-2D08-486F-8D74-9DE1BF768721}"/>
                </a:ext>
              </a:extLst>
            </xdr:cNvPr>
            <xdr:cNvSpPr txBox="1"/>
          </xdr:nvSpPr>
          <xdr:spPr>
            <a:xfrm>
              <a:off x="0" y="8793018"/>
              <a:ext cx="1765426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−4</m:t>
                    </m:r>
                  </m:oMath>
                </m:oMathPara>
              </a14:m>
              <a:endParaRPr lang="es-MX" sz="1100" b="0"/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B0C4568-2D08-486F-8D74-9DE1BF768721}"/>
                </a:ext>
              </a:extLst>
            </xdr:cNvPr>
            <xdr:cNvSpPr txBox="1"/>
          </xdr:nvSpPr>
          <xdr:spPr>
            <a:xfrm>
              <a:off x="0" y="8793018"/>
              <a:ext cx="1765426" cy="347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𝑓(𝑥)=𝑥</a:t>
              </a:r>
              <a:r>
                <a:rPr lang="es-ES" sz="1100" b="0" i="0">
                  <a:latin typeface="Cambria Math" panose="02040503050406030204" pitchFamily="18" charset="0"/>
                </a:rPr>
                <a:t>^</a:t>
              </a:r>
              <a:r>
                <a:rPr lang="es-MX" sz="1100" b="0" i="0">
                  <a:latin typeface="Cambria Math" panose="02040503050406030204" pitchFamily="18" charset="0"/>
                </a:rPr>
                <a:t>2−4</a:t>
              </a:r>
              <a:endParaRPr lang="es-MX" sz="1100" b="0"/>
            </a:p>
            <a:p>
              <a:pPr/>
              <a:endParaRPr lang="es-ES" sz="1100"/>
            </a:p>
          </xdr:txBody>
        </xdr:sp>
      </mc:Fallback>
    </mc:AlternateContent>
    <xdr:clientData/>
  </xdr:oneCellAnchor>
  <xdr:oneCellAnchor>
    <xdr:from>
      <xdr:col>0</xdr:col>
      <xdr:colOff>123568</xdr:colOff>
      <xdr:row>48</xdr:row>
      <xdr:rowOff>180202</xdr:rowOff>
    </xdr:from>
    <xdr:ext cx="65" cy="344453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2AC0686-CA73-4CBA-8BFA-91F99482F41C}"/>
            </a:ext>
          </a:extLst>
        </xdr:cNvPr>
        <xdr:cNvSpPr txBox="1"/>
      </xdr:nvSpPr>
      <xdr:spPr>
        <a:xfrm>
          <a:off x="123568" y="9157947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  <a:p>
          <a:endParaRPr lang="es-ES" sz="1100"/>
        </a:p>
      </xdr:txBody>
    </xdr:sp>
    <xdr:clientData/>
  </xdr:oneCellAnchor>
  <xdr:oneCellAnchor>
    <xdr:from>
      <xdr:col>0</xdr:col>
      <xdr:colOff>77230</xdr:colOff>
      <xdr:row>50</xdr:row>
      <xdr:rowOff>0</xdr:rowOff>
    </xdr:from>
    <xdr:ext cx="65" cy="172227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D58E2B2-ACD4-4433-BA2F-6DBF1D14464E}"/>
            </a:ext>
          </a:extLst>
        </xdr:cNvPr>
        <xdr:cNvSpPr txBox="1"/>
      </xdr:nvSpPr>
      <xdr:spPr>
        <a:xfrm>
          <a:off x="77230" y="9347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76</xdr:row>
      <xdr:rowOff>0</xdr:rowOff>
    </xdr:from>
    <xdr:ext cx="176542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F5EC158F-0016-4763-9449-EB52277B8B20}"/>
                </a:ext>
              </a:extLst>
            </xdr:cNvPr>
            <xdr:cNvSpPr txBox="1"/>
          </xdr:nvSpPr>
          <xdr:spPr>
            <a:xfrm>
              <a:off x="0" y="925830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−5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F5EC158F-0016-4763-9449-EB52277B8B20}"/>
                </a:ext>
              </a:extLst>
            </xdr:cNvPr>
            <xdr:cNvSpPr txBox="1"/>
          </xdr:nvSpPr>
          <xdr:spPr>
            <a:xfrm>
              <a:off x="0" y="9258300"/>
              <a:ext cx="176542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𝑓(𝑥)=x−5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3</xdr:col>
      <xdr:colOff>46338</xdr:colOff>
      <xdr:row>76</xdr:row>
      <xdr:rowOff>0</xdr:rowOff>
    </xdr:from>
    <xdr:ext cx="65" cy="172227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9F1849CD-1AF9-4BBA-BCD9-4BBF03636177}"/>
            </a:ext>
          </a:extLst>
        </xdr:cNvPr>
        <xdr:cNvSpPr txBox="1"/>
      </xdr:nvSpPr>
      <xdr:spPr>
        <a:xfrm>
          <a:off x="2451756" y="1394346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3</xdr:col>
      <xdr:colOff>0</xdr:colOff>
      <xdr:row>77</xdr:row>
      <xdr:rowOff>3242</xdr:rowOff>
    </xdr:from>
    <xdr:ext cx="65" cy="172227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13CB4858-C479-4AB4-80C0-3624AAE0E5CA}"/>
            </a:ext>
          </a:extLst>
        </xdr:cNvPr>
        <xdr:cNvSpPr txBox="1"/>
      </xdr:nvSpPr>
      <xdr:spPr>
        <a:xfrm>
          <a:off x="2405418" y="141286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0</xdr:col>
      <xdr:colOff>0</xdr:colOff>
      <xdr:row>101</xdr:row>
      <xdr:rowOff>0</xdr:rowOff>
    </xdr:from>
    <xdr:ext cx="17654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7DB7437-AE1F-4B8A-A64E-A0AF16B1A382}"/>
                </a:ext>
              </a:extLst>
            </xdr:cNvPr>
            <xdr:cNvSpPr txBox="1"/>
          </xdr:nvSpPr>
          <xdr:spPr>
            <a:xfrm>
              <a:off x="0" y="18733524"/>
              <a:ext cx="17654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2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−7</m:t>
                    </m:r>
                  </m:oMath>
                </m:oMathPara>
              </a14:m>
              <a:endParaRPr lang="es-MX" sz="1100" b="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07DB7437-AE1F-4B8A-A64E-A0AF16B1A382}"/>
                </a:ext>
              </a:extLst>
            </xdr:cNvPr>
            <xdr:cNvSpPr txBox="1"/>
          </xdr:nvSpPr>
          <xdr:spPr>
            <a:xfrm>
              <a:off x="0" y="18733524"/>
              <a:ext cx="17654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𝑓(𝑥)=2x−7</a:t>
              </a:r>
              <a:endParaRPr lang="es-MX" sz="1100" b="0"/>
            </a:p>
          </xdr:txBody>
        </xdr:sp>
      </mc:Fallback>
    </mc:AlternateContent>
    <xdr:clientData/>
  </xdr:oneCellAnchor>
  <xdr:oneCellAnchor>
    <xdr:from>
      <xdr:col>3</xdr:col>
      <xdr:colOff>46338</xdr:colOff>
      <xdr:row>101</xdr:row>
      <xdr:rowOff>0</xdr:rowOff>
    </xdr:from>
    <xdr:ext cx="65" cy="17222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C044B332-913A-4959-98F0-8EB4B8497087}"/>
            </a:ext>
          </a:extLst>
        </xdr:cNvPr>
        <xdr:cNvSpPr txBox="1"/>
      </xdr:nvSpPr>
      <xdr:spPr>
        <a:xfrm>
          <a:off x="2442951" y="187335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3</xdr:col>
      <xdr:colOff>0</xdr:colOff>
      <xdr:row>102</xdr:row>
      <xdr:rowOff>3242</xdr:rowOff>
    </xdr:from>
    <xdr:ext cx="65" cy="172227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37416E94-AB81-4AF3-B66F-D715EE2EB4E9}"/>
            </a:ext>
          </a:extLst>
        </xdr:cNvPr>
        <xdr:cNvSpPr txBox="1"/>
      </xdr:nvSpPr>
      <xdr:spPr>
        <a:xfrm>
          <a:off x="2396613" y="1892112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twoCellAnchor>
    <xdr:from>
      <xdr:col>14</xdr:col>
      <xdr:colOff>216242</xdr:colOff>
      <xdr:row>23</xdr:row>
      <xdr:rowOff>49427</xdr:rowOff>
    </xdr:from>
    <xdr:to>
      <xdr:col>20</xdr:col>
      <xdr:colOff>30891</xdr:colOff>
      <xdr:row>38</xdr:row>
      <xdr:rowOff>12356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C0E534F-61FC-4B06-2376-ACC29F8D2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597243</xdr:colOff>
      <xdr:row>50</xdr:row>
      <xdr:rowOff>39129</xdr:rowOff>
    </xdr:from>
    <xdr:to>
      <xdr:col>20</xdr:col>
      <xdr:colOff>411892</xdr:colOff>
      <xdr:row>65</xdr:row>
      <xdr:rowOff>2059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E1A9E394-CD7B-F7A9-6B5A-155A07038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78</xdr:row>
      <xdr:rowOff>70022</xdr:rowOff>
    </xdr:from>
    <xdr:to>
      <xdr:col>20</xdr:col>
      <xdr:colOff>607541</xdr:colOff>
      <xdr:row>93</xdr:row>
      <xdr:rowOff>32952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C77C2269-B2C7-CCB3-5575-599E76693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72080</xdr:colOff>
      <xdr:row>100</xdr:row>
      <xdr:rowOff>100914</xdr:rowOff>
    </xdr:from>
    <xdr:to>
      <xdr:col>20</xdr:col>
      <xdr:colOff>679621</xdr:colOff>
      <xdr:row>115</xdr:row>
      <xdr:rowOff>63843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11CE38A2-AF43-9394-A822-342B8427C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292106</xdr:colOff>
      <xdr:row>130</xdr:row>
      <xdr:rowOff>57445</xdr:rowOff>
    </xdr:from>
    <xdr:to>
      <xdr:col>17</xdr:col>
      <xdr:colOff>104215</xdr:colOff>
      <xdr:row>144</xdr:row>
      <xdr:rowOff>166643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398176</xdr:colOff>
      <xdr:row>38</xdr:row>
      <xdr:rowOff>138149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4E4873-EF42-9183-BEC4-18658374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70336" cy="70875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11</xdr:col>
      <xdr:colOff>15240</xdr:colOff>
      <xdr:row>24</xdr:row>
      <xdr:rowOff>45720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66BD1CA-F465-41C4-FDBD-EEFE0BE3EB53}"/>
            </a:ext>
          </a:extLst>
        </xdr:cNvPr>
        <xdr:cNvSpPr txBox="1"/>
      </xdr:nvSpPr>
      <xdr:spPr>
        <a:xfrm>
          <a:off x="0" y="7620"/>
          <a:ext cx="8732520" cy="44272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800">
              <a:latin typeface="Bahnschrift Light" panose="020B0502040204020203" pitchFamily="34" charset="0"/>
            </a:rPr>
            <a:t>Conclusiones</a:t>
          </a:r>
        </a:p>
        <a:p>
          <a:endParaRPr lang="es-ES" sz="1100"/>
        </a:p>
        <a:p>
          <a:endParaRPr lang="es-ES" sz="1100"/>
        </a:p>
        <a:p>
          <a:r>
            <a:rPr lang="es-ES" sz="1100"/>
            <a:t>Como conclusión</a:t>
          </a:r>
          <a:r>
            <a:rPr lang="es-ES" sz="1100" baseline="0"/>
            <a:t> puedo decir que el método de Newton es el mas facil de comprender porque se tiene la función la derivabamos y se comienza a trabajar con las dos haciendo iteraciones hasta que se encuentre la raiz pero igual existen casos donde no hay raiz, ademas de que el método es eficiente y puede ser aplicado a funciones e cualquier grado lo que se puede usar en diversas disciplinas.</a:t>
          </a:r>
        </a:p>
        <a:p>
          <a:endParaRPr lang="es-ES" sz="1100" baseline="0"/>
        </a:p>
        <a:p>
          <a:r>
            <a:rPr lang="es-ES" sz="1100"/>
            <a:t>En general, la elección del método depende del problema específico y de las características de la función. Si se busca rapidez y se tiene un buen punto inicial, el método de Newton-Raphson puede ser una buena opción. Si se busca robustez y se tiene un intervalo inicial, el método de bisección puede ser una mejor elección. Los métodos de Regla Falsa y Secante pueden ser utilizados como alternativas en ciertos casos.</a:t>
          </a:r>
        </a:p>
        <a:p>
          <a:endParaRPr lang="es-E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10</xdr:col>
      <xdr:colOff>693420</xdr:colOff>
      <xdr:row>25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8CA7A1E-108D-4C5D-141C-7EA0A0F393DC}"/>
            </a:ext>
          </a:extLst>
        </xdr:cNvPr>
        <xdr:cNvSpPr txBox="1"/>
      </xdr:nvSpPr>
      <xdr:spPr>
        <a:xfrm>
          <a:off x="38100" y="38100"/>
          <a:ext cx="8580120" cy="45415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800" b="1">
              <a:latin typeface="Bahnschrift Light" panose="020B0502040204020203" pitchFamily="34" charset="0"/>
            </a:rPr>
            <a:t>Referencias </a:t>
          </a: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 challenge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(s. f.). https://es.scribd.com/document/591782032/regla-falsa-ejercicio-resuelto-2</a:t>
          </a: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Métodos numéricos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(s. f.). https://multimedia.uned.ac.cr/pem/metodos_numericos_ensenanza/modulo2/descripcionmetodo.html</a:t>
          </a: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Jose Arturo Viramontes Reyna. (2022, 21 mayo). </a:t>
          </a:r>
          <a:r>
            <a:rPr lang="es-E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Método de Newton Raphson en excel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[Vídeo]. YouTube. https://www.youtube.com/watch?v=Tow0uTLO4S8</a:t>
          </a: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 challenge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(s. f.-b). https://es.slideshare.net/slideshow/newton-raphsonejercicios-resueltos/68875094</a:t>
          </a:r>
        </a:p>
        <a:p>
          <a:endParaRPr lang="es-E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Alfredo Peña Ramos. (2020, 13 febrero). </a:t>
          </a:r>
          <a:r>
            <a:rPr lang="es-E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Métodos numéricos - Método de la secante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[Vídeo]. YouTube. https://www.youtube.com/watch?v=l2cXyqQ5hQM</a:t>
          </a:r>
        </a:p>
        <a:p>
          <a:endParaRPr lang="es-E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uis\Downloads\Problemario_Efren.xlsx" TargetMode="External"/><Relationship Id="rId1" Type="http://schemas.openxmlformats.org/officeDocument/2006/relationships/externalLinkPath" Target="Problemario_Efr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</sheetNames>
    <sheetDataSet>
      <sheetData sheetId="0">
        <row r="3">
          <cell r="K3">
            <v>-1</v>
          </cell>
          <cell r="L3">
            <v>-0.68294196961579301</v>
          </cell>
        </row>
        <row r="4">
          <cell r="K4">
            <v>-0.9</v>
          </cell>
          <cell r="L4">
            <v>-0.66665381925496681</v>
          </cell>
        </row>
        <row r="5">
          <cell r="K5">
            <v>-0.8</v>
          </cell>
          <cell r="L5">
            <v>-0.63471218179904554</v>
          </cell>
        </row>
        <row r="6">
          <cell r="K6">
            <v>-0.7</v>
          </cell>
          <cell r="L6">
            <v>-0.58843537447538208</v>
          </cell>
        </row>
        <row r="7">
          <cell r="K7">
            <v>-0.6</v>
          </cell>
          <cell r="L7">
            <v>-0.52928494679007076</v>
          </cell>
        </row>
        <row r="8">
          <cell r="K8">
            <v>-0.5</v>
          </cell>
          <cell r="L8">
            <v>-0.45885107720840601</v>
          </cell>
        </row>
        <row r="9">
          <cell r="K9">
            <v>-0.4</v>
          </cell>
          <cell r="L9">
            <v>-0.37883668461730102</v>
          </cell>
        </row>
        <row r="10">
          <cell r="K10">
            <v>-0.3</v>
          </cell>
          <cell r="L10">
            <v>-0.2910404133226791</v>
          </cell>
        </row>
        <row r="11">
          <cell r="K11">
            <v>-0.2</v>
          </cell>
          <cell r="L11">
            <v>-0.19733866159012242</v>
          </cell>
        </row>
        <row r="12">
          <cell r="K12">
            <v>-0.1</v>
          </cell>
          <cell r="L12">
            <v>-9.9666833293656304E-2</v>
          </cell>
        </row>
        <row r="13">
          <cell r="K13">
            <v>0</v>
          </cell>
          <cell r="L13">
            <v>0</v>
          </cell>
        </row>
        <row r="14">
          <cell r="K14">
            <v>0.1</v>
          </cell>
          <cell r="L14">
            <v>9.9666833293656304E-2</v>
          </cell>
        </row>
        <row r="15">
          <cell r="K15">
            <v>0.2</v>
          </cell>
          <cell r="L15">
            <v>0.19733866159012242</v>
          </cell>
        </row>
        <row r="16">
          <cell r="K16">
            <v>0.3</v>
          </cell>
          <cell r="L16">
            <v>0.2910404133226791</v>
          </cell>
        </row>
        <row r="17">
          <cell r="K17">
            <v>0.4</v>
          </cell>
          <cell r="L17">
            <v>0.37883668461730102</v>
          </cell>
        </row>
        <row r="18">
          <cell r="K18">
            <v>0.5</v>
          </cell>
          <cell r="L18">
            <v>0.45885107720840601</v>
          </cell>
        </row>
        <row r="19">
          <cell r="K19">
            <v>0.6</v>
          </cell>
          <cell r="L19">
            <v>0.52928494679007076</v>
          </cell>
        </row>
        <row r="20">
          <cell r="K20">
            <v>0.7</v>
          </cell>
          <cell r="L20">
            <v>0.58843537447538208</v>
          </cell>
        </row>
        <row r="21">
          <cell r="K21">
            <v>0.8</v>
          </cell>
          <cell r="L21">
            <v>0.63471218179904554</v>
          </cell>
        </row>
        <row r="22">
          <cell r="K22">
            <v>0.9</v>
          </cell>
          <cell r="L22">
            <v>0.66665381925496681</v>
          </cell>
        </row>
        <row r="29">
          <cell r="K29">
            <v>0</v>
          </cell>
          <cell r="L29">
            <v>-19</v>
          </cell>
        </row>
        <row r="30">
          <cell r="K30">
            <v>0.1</v>
          </cell>
          <cell r="L30">
            <v>-19.059998100000001</v>
          </cell>
        </row>
        <row r="31">
          <cell r="K31">
            <v>0.2</v>
          </cell>
          <cell r="L31">
            <v>-19.239756799999999</v>
          </cell>
        </row>
        <row r="32">
          <cell r="K32">
            <v>0.3</v>
          </cell>
          <cell r="L32">
            <v>-19.535844699999998</v>
          </cell>
        </row>
        <row r="33">
          <cell r="K33">
            <v>0.4</v>
          </cell>
          <cell r="L33">
            <v>-19.928870400000001</v>
          </cell>
        </row>
        <row r="34">
          <cell r="K34">
            <v>0.5</v>
          </cell>
          <cell r="L34">
            <v>-20.3515625</v>
          </cell>
        </row>
        <row r="35">
          <cell r="K35">
            <v>0.6</v>
          </cell>
          <cell r="L35">
            <v>-20.6281216</v>
          </cell>
        </row>
        <row r="36">
          <cell r="K36">
            <v>0.7</v>
          </cell>
          <cell r="L36">
            <v>-20.375268300000002</v>
          </cell>
        </row>
        <row r="37">
          <cell r="K37">
            <v>0.8</v>
          </cell>
          <cell r="L37">
            <v>-18.855411199999999</v>
          </cell>
        </row>
        <row r="38">
          <cell r="K38">
            <v>0.9</v>
          </cell>
          <cell r="L38">
            <v>-14.772358899999997</v>
          </cell>
        </row>
        <row r="39">
          <cell r="K39">
            <v>1</v>
          </cell>
          <cell r="L39">
            <v>-6</v>
          </cell>
        </row>
        <row r="40">
          <cell r="K40">
            <v>1.1000000000000001</v>
          </cell>
          <cell r="L40">
            <v>10.765624900000024</v>
          </cell>
        </row>
        <row r="41">
          <cell r="K41">
            <v>1.2</v>
          </cell>
          <cell r="L41">
            <v>40.440435199999996</v>
          </cell>
        </row>
        <row r="42">
          <cell r="K42">
            <v>1.3</v>
          </cell>
          <cell r="L42">
            <v>90.082182300000056</v>
          </cell>
        </row>
        <row r="43">
          <cell r="K43">
            <v>1.4</v>
          </cell>
          <cell r="L43">
            <v>169.52565759999987</v>
          </cell>
        </row>
        <row r="44">
          <cell r="K44">
            <v>1.5</v>
          </cell>
          <cell r="L44">
            <v>292.1328125</v>
          </cell>
        </row>
        <row r="59">
          <cell r="L59" t="str">
            <v>f(x)</v>
          </cell>
        </row>
        <row r="60">
          <cell r="K60">
            <v>0</v>
          </cell>
          <cell r="L60">
            <v>-20</v>
          </cell>
        </row>
        <row r="61">
          <cell r="K61">
            <v>0.1</v>
          </cell>
          <cell r="L61">
            <v>-18.978999999999999</v>
          </cell>
        </row>
        <row r="62">
          <cell r="K62">
            <v>0.2</v>
          </cell>
          <cell r="L62">
            <v>-17.911999999999999</v>
          </cell>
        </row>
        <row r="63">
          <cell r="K63">
            <v>0.3</v>
          </cell>
          <cell r="L63">
            <v>-16.792999999999999</v>
          </cell>
        </row>
        <row r="64">
          <cell r="K64">
            <v>0.4</v>
          </cell>
          <cell r="L64">
            <v>-15.616</v>
          </cell>
        </row>
        <row r="65">
          <cell r="K65">
            <v>0.5</v>
          </cell>
          <cell r="L65">
            <v>-14.375</v>
          </cell>
        </row>
        <row r="66">
          <cell r="K66">
            <v>0.6</v>
          </cell>
          <cell r="L66">
            <v>-13.064</v>
          </cell>
        </row>
        <row r="67">
          <cell r="K67">
            <v>0.7</v>
          </cell>
          <cell r="L67">
            <v>-11.677</v>
          </cell>
        </row>
        <row r="68">
          <cell r="K68">
            <v>0.8</v>
          </cell>
          <cell r="L68">
            <v>-10.208</v>
          </cell>
        </row>
        <row r="69">
          <cell r="K69">
            <v>0.9</v>
          </cell>
          <cell r="L69">
            <v>-8.6509999999999998</v>
          </cell>
        </row>
        <row r="70">
          <cell r="K70">
            <v>1</v>
          </cell>
          <cell r="L70">
            <v>-7</v>
          </cell>
        </row>
        <row r="71">
          <cell r="K71">
            <v>1.1000000000000001</v>
          </cell>
          <cell r="L71">
            <v>-5.2489999999999988</v>
          </cell>
        </row>
        <row r="72">
          <cell r="K72">
            <v>1.2</v>
          </cell>
          <cell r="L72">
            <v>-3.3919999999999995</v>
          </cell>
        </row>
        <row r="73">
          <cell r="K73">
            <v>1.3</v>
          </cell>
          <cell r="L73">
            <v>-1.4229999999999983</v>
          </cell>
        </row>
        <row r="74">
          <cell r="K74">
            <v>1.4</v>
          </cell>
          <cell r="L74">
            <v>0.66399999999999793</v>
          </cell>
        </row>
        <row r="75">
          <cell r="K75">
            <v>1.5</v>
          </cell>
          <cell r="L75">
            <v>2.875</v>
          </cell>
        </row>
        <row r="76">
          <cell r="K76">
            <v>1.6</v>
          </cell>
          <cell r="L76">
            <v>5.2160000000000011</v>
          </cell>
        </row>
        <row r="80">
          <cell r="L80" t="str">
            <v>f(x)</v>
          </cell>
        </row>
        <row r="81">
          <cell r="K81">
            <v>0</v>
          </cell>
          <cell r="L81">
            <v>-1</v>
          </cell>
        </row>
        <row r="82">
          <cell r="K82">
            <v>0.2</v>
          </cell>
          <cell r="L82">
            <v>-1.1919999999999999</v>
          </cell>
        </row>
        <row r="83">
          <cell r="K83">
            <v>0.4</v>
          </cell>
          <cell r="L83">
            <v>-1.3360000000000001</v>
          </cell>
        </row>
        <row r="84">
          <cell r="K84">
            <v>0.6</v>
          </cell>
          <cell r="L84">
            <v>-1.3839999999999999</v>
          </cell>
        </row>
        <row r="85">
          <cell r="K85">
            <v>0.8</v>
          </cell>
          <cell r="L85">
            <v>-1.2879999999999998</v>
          </cell>
        </row>
        <row r="86">
          <cell r="K86">
            <v>1</v>
          </cell>
          <cell r="L86">
            <v>-1</v>
          </cell>
        </row>
        <row r="87">
          <cell r="K87">
            <v>1.2</v>
          </cell>
          <cell r="L87">
            <v>-0.47199999999999998</v>
          </cell>
        </row>
        <row r="88">
          <cell r="K88">
            <v>1.4</v>
          </cell>
          <cell r="L88">
            <v>0.34399999999999942</v>
          </cell>
        </row>
        <row r="89">
          <cell r="K89">
            <v>1.6</v>
          </cell>
          <cell r="L89">
            <v>1.4960000000000009</v>
          </cell>
        </row>
        <row r="90">
          <cell r="K90">
            <v>1.8</v>
          </cell>
          <cell r="L90">
            <v>3.0320000000000009</v>
          </cell>
        </row>
        <row r="91">
          <cell r="K91">
            <v>2</v>
          </cell>
          <cell r="L91">
            <v>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"/>
  <sheetViews>
    <sheetView zoomScale="72" workbookViewId="0">
      <selection activeCell="X22" sqref="X2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"/>
  <sheetViews>
    <sheetView workbookViewId="0">
      <selection activeCell="J14" sqref="J1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rgb="FF0070C0"/>
  </sheetPr>
  <dimension ref="A1:BL122"/>
  <sheetViews>
    <sheetView zoomScale="24" zoomScaleNormal="100" workbookViewId="0">
      <selection activeCell="L151" sqref="L151"/>
    </sheetView>
  </sheetViews>
  <sheetFormatPr baseColWidth="10" defaultRowHeight="14.4" x14ac:dyDescent="0.3"/>
  <sheetData>
    <row r="1" spans="1:62" ht="23.4" x14ac:dyDescent="0.45">
      <c r="B1" s="1" t="s">
        <v>0</v>
      </c>
    </row>
    <row r="3" spans="1:62" x14ac:dyDescent="0.3">
      <c r="D3" s="2" t="s">
        <v>1</v>
      </c>
      <c r="E3" s="2" t="s">
        <v>2</v>
      </c>
    </row>
    <row r="4" spans="1:62" x14ac:dyDescent="0.3">
      <c r="D4" s="3">
        <v>1</v>
      </c>
      <c r="E4" s="3" t="s">
        <v>3</v>
      </c>
    </row>
    <row r="5" spans="1:62" x14ac:dyDescent="0.3">
      <c r="D5" s="3">
        <v>2</v>
      </c>
      <c r="E5" s="3" t="s">
        <v>4</v>
      </c>
    </row>
    <row r="6" spans="1:62" x14ac:dyDescent="0.3">
      <c r="D6" s="3">
        <v>3</v>
      </c>
      <c r="E6" s="3" t="s">
        <v>5</v>
      </c>
    </row>
    <row r="7" spans="1:62" x14ac:dyDescent="0.3">
      <c r="D7" s="3">
        <v>4</v>
      </c>
      <c r="E7" s="3" t="s">
        <v>6</v>
      </c>
    </row>
    <row r="8" spans="1:62" x14ac:dyDescent="0.3">
      <c r="D8" s="3">
        <v>5</v>
      </c>
      <c r="E8" s="3" t="s">
        <v>7</v>
      </c>
    </row>
    <row r="11" spans="1:6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2" x14ac:dyDescent="0.3">
      <c r="I12" s="9" t="s">
        <v>14</v>
      </c>
      <c r="J12" s="9" t="s">
        <v>15</v>
      </c>
    </row>
    <row r="13" spans="1:62" x14ac:dyDescent="0.3">
      <c r="I13" s="10">
        <v>-1</v>
      </c>
      <c r="J13" s="10">
        <f>2*SIN(I13)-I13</f>
        <v>-0.68294196961579301</v>
      </c>
    </row>
    <row r="14" spans="1:62" x14ac:dyDescent="0.3">
      <c r="I14" s="10">
        <v>-0.9</v>
      </c>
      <c r="J14" s="10">
        <f>2*SIN(I14)-I14</f>
        <v>-0.66665381925496681</v>
      </c>
    </row>
    <row r="15" spans="1:62" x14ac:dyDescent="0.3">
      <c r="I15" s="10">
        <v>-0.8</v>
      </c>
      <c r="J15" s="10">
        <f t="shared" ref="J15:J32" si="0">2*SIN(I15)-I15</f>
        <v>-0.63471218179904554</v>
      </c>
    </row>
    <row r="16" spans="1:62" x14ac:dyDescent="0.3">
      <c r="I16" s="10">
        <v>-0.7</v>
      </c>
      <c r="J16" s="10">
        <f t="shared" si="0"/>
        <v>-0.58843537447538208</v>
      </c>
    </row>
    <row r="17" spans="1:10" x14ac:dyDescent="0.3">
      <c r="A17" s="5" t="s">
        <v>8</v>
      </c>
      <c r="B17" s="5" t="s">
        <v>9</v>
      </c>
      <c r="C17" s="5" t="s">
        <v>10</v>
      </c>
      <c r="D17" s="5" t="s">
        <v>11</v>
      </c>
      <c r="E17" s="5" t="s">
        <v>12</v>
      </c>
      <c r="F17" s="5" t="s">
        <v>13</v>
      </c>
      <c r="I17" s="10">
        <v>-0.6</v>
      </c>
      <c r="J17" s="10">
        <f t="shared" si="0"/>
        <v>-0.52928494679007076</v>
      </c>
    </row>
    <row r="18" spans="1:10" x14ac:dyDescent="0.3">
      <c r="A18" s="6">
        <v>1</v>
      </c>
      <c r="B18" s="7">
        <f>PI()/4</f>
        <v>0.78539816339744828</v>
      </c>
      <c r="C18" s="7">
        <f>2*SIN(B18)-B18</f>
        <v>0.62881539897564664</v>
      </c>
      <c r="D18" s="7">
        <f>2*COS(B18)-1</f>
        <v>0.41421356237309515</v>
      </c>
      <c r="E18" s="7">
        <f>B18-C18/D18</f>
        <v>-0.7326965010386064</v>
      </c>
      <c r="F18" s="7">
        <f>ABS(((E18-B18)/E18)*100)</f>
        <v>207.19283663619748</v>
      </c>
      <c r="I18" s="10">
        <v>-0.5</v>
      </c>
      <c r="J18" s="10">
        <f t="shared" si="0"/>
        <v>-0.45885107720840601</v>
      </c>
    </row>
    <row r="19" spans="1:10" x14ac:dyDescent="0.3">
      <c r="A19" s="6">
        <v>2</v>
      </c>
      <c r="B19" s="7">
        <f>E18</f>
        <v>-0.7326965010386064</v>
      </c>
      <c r="C19" s="7">
        <f>2*SIN(B19)-B19</f>
        <v>-0.60505664231364698</v>
      </c>
      <c r="D19" s="7">
        <f>2*COS(B19)-1</f>
        <v>0.4867469614736617</v>
      </c>
      <c r="E19" s="7">
        <f>B19-C19/D19</f>
        <v>0.51036548024586659</v>
      </c>
      <c r="F19" s="7">
        <f>ABS(((E19-B19)/E19)*100)</f>
        <v>243.56309926871086</v>
      </c>
      <c r="I19" s="10">
        <v>-0.4</v>
      </c>
      <c r="J19" s="10">
        <f t="shared" si="0"/>
        <v>-0.37883668461730102</v>
      </c>
    </row>
    <row r="20" spans="1:10" x14ac:dyDescent="0.3">
      <c r="A20" s="6">
        <v>3</v>
      </c>
      <c r="B20" s="7">
        <f t="shared" ref="B20:B24" si="1">E19</f>
        <v>0.51036548024586659</v>
      </c>
      <c r="C20" s="7">
        <f t="shared" ref="C20:C24" si="2">2*SIN(B20)-B20</f>
        <v>0.46662689005154179</v>
      </c>
      <c r="D20" s="7">
        <f t="shared" ref="D20:D24" si="3">2*COS(B20)-1</f>
        <v>0.74513206044145885</v>
      </c>
      <c r="E20" s="7">
        <f t="shared" ref="E20:E24" si="4">B20-C20/D20</f>
        <v>-0.11586833094605198</v>
      </c>
      <c r="F20" s="7">
        <f t="shared" ref="F20:F22" si="5">ABS(((E20-B20)/E20)*100)</f>
        <v>540.47020965848867</v>
      </c>
      <c r="I20" s="10">
        <v>-0.3</v>
      </c>
      <c r="J20" s="10">
        <f t="shared" si="0"/>
        <v>-0.2910404133226791</v>
      </c>
    </row>
    <row r="21" spans="1:10" x14ac:dyDescent="0.3">
      <c r="A21" s="6">
        <v>4</v>
      </c>
      <c r="B21" s="7">
        <f t="shared" si="1"/>
        <v>-0.11586833094605198</v>
      </c>
      <c r="C21" s="7">
        <f t="shared" si="2"/>
        <v>-0.11535014997136978</v>
      </c>
      <c r="D21" s="7">
        <f t="shared" si="3"/>
        <v>0.98658954343423444</v>
      </c>
      <c r="E21" s="7">
        <f t="shared" si="4"/>
        <v>1.0497437882956984E-3</v>
      </c>
      <c r="F21" s="7">
        <f t="shared" si="5"/>
        <v>11137.772477241224</v>
      </c>
      <c r="I21" s="10">
        <v>-0.2</v>
      </c>
      <c r="J21" s="10">
        <f t="shared" si="0"/>
        <v>-0.19733866159012242</v>
      </c>
    </row>
    <row r="22" spans="1:10" x14ac:dyDescent="0.3">
      <c r="A22" s="6">
        <v>5</v>
      </c>
      <c r="B22" s="7">
        <f t="shared" si="1"/>
        <v>1.0497437882956984E-3</v>
      </c>
      <c r="C22" s="7">
        <f t="shared" si="2"/>
        <v>1.049743402703124E-3</v>
      </c>
      <c r="D22" s="7">
        <f t="shared" si="3"/>
        <v>0.99999889803808006</v>
      </c>
      <c r="E22" s="7">
        <f t="shared" si="4"/>
        <v>-7.711859558064138E-10</v>
      </c>
      <c r="F22" s="7">
        <f t="shared" si="5"/>
        <v>136120808.68147516</v>
      </c>
      <c r="I22" s="10">
        <v>-0.1</v>
      </c>
      <c r="J22" s="10">
        <f t="shared" si="0"/>
        <v>-9.9666833293656304E-2</v>
      </c>
    </row>
    <row r="23" spans="1:10" x14ac:dyDescent="0.3">
      <c r="A23" s="6">
        <v>6</v>
      </c>
      <c r="B23" s="7">
        <f t="shared" si="1"/>
        <v>-7.711859558064138E-10</v>
      </c>
      <c r="C23" s="7">
        <f t="shared" si="2"/>
        <v>-7.711859558064138E-10</v>
      </c>
      <c r="D23" s="7">
        <f t="shared" si="3"/>
        <v>1</v>
      </c>
      <c r="E23" s="7">
        <f t="shared" si="4"/>
        <v>0</v>
      </c>
      <c r="F23" s="7" t="e">
        <f>ABS(((E23-B23)/E23)*100)</f>
        <v>#DIV/0!</v>
      </c>
      <c r="I23" s="10">
        <v>0</v>
      </c>
      <c r="J23" s="10">
        <f t="shared" si="0"/>
        <v>0</v>
      </c>
    </row>
    <row r="24" spans="1:10" x14ac:dyDescent="0.3">
      <c r="A24" s="8">
        <v>7</v>
      </c>
      <c r="B24" s="8">
        <f t="shared" si="1"/>
        <v>0</v>
      </c>
      <c r="C24" s="8">
        <f t="shared" si="2"/>
        <v>0</v>
      </c>
      <c r="D24" s="8">
        <f t="shared" si="3"/>
        <v>1</v>
      </c>
      <c r="E24" s="8">
        <f t="shared" si="4"/>
        <v>0</v>
      </c>
      <c r="F24" s="8" t="e">
        <f>ABS(((E24-B24)/E24)*100)</f>
        <v>#DIV/0!</v>
      </c>
      <c r="I24" s="10">
        <v>0.1</v>
      </c>
      <c r="J24" s="10">
        <f t="shared" si="0"/>
        <v>9.9666833293656304E-2</v>
      </c>
    </row>
    <row r="25" spans="1:10" x14ac:dyDescent="0.3">
      <c r="I25" s="10">
        <v>0.2</v>
      </c>
      <c r="J25" s="10">
        <f t="shared" si="0"/>
        <v>0.19733866159012242</v>
      </c>
    </row>
    <row r="26" spans="1:10" x14ac:dyDescent="0.3">
      <c r="I26" s="10">
        <v>0.3</v>
      </c>
      <c r="J26" s="10">
        <f t="shared" si="0"/>
        <v>0.2910404133226791</v>
      </c>
    </row>
    <row r="27" spans="1:10" x14ac:dyDescent="0.3">
      <c r="I27" s="10">
        <v>0.4</v>
      </c>
      <c r="J27" s="10">
        <f t="shared" si="0"/>
        <v>0.37883668461730102</v>
      </c>
    </row>
    <row r="28" spans="1:10" x14ac:dyDescent="0.3">
      <c r="I28" s="10">
        <v>0.5</v>
      </c>
      <c r="J28" s="10">
        <f t="shared" si="0"/>
        <v>0.45885107720840601</v>
      </c>
    </row>
    <row r="29" spans="1:10" x14ac:dyDescent="0.3">
      <c r="I29" s="10">
        <v>0.6</v>
      </c>
      <c r="J29" s="10">
        <f t="shared" si="0"/>
        <v>0.52928494679007076</v>
      </c>
    </row>
    <row r="30" spans="1:10" x14ac:dyDescent="0.3">
      <c r="I30" s="10">
        <v>0.7</v>
      </c>
      <c r="J30" s="10">
        <f t="shared" si="0"/>
        <v>0.58843537447538208</v>
      </c>
    </row>
    <row r="31" spans="1:10" x14ac:dyDescent="0.3">
      <c r="I31" s="10">
        <v>0.8</v>
      </c>
      <c r="J31" s="10">
        <f t="shared" si="0"/>
        <v>0.63471218179904554</v>
      </c>
    </row>
    <row r="32" spans="1:10" x14ac:dyDescent="0.3">
      <c r="I32" s="10">
        <v>0.9</v>
      </c>
      <c r="J32" s="10">
        <f t="shared" si="0"/>
        <v>0.66665381925496681</v>
      </c>
    </row>
    <row r="36" spans="1:64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:64" x14ac:dyDescent="0.3">
      <c r="I37" s="13" t="s">
        <v>14</v>
      </c>
      <c r="J37" s="13" t="s">
        <v>15</v>
      </c>
    </row>
    <row r="38" spans="1:64" x14ac:dyDescent="0.3">
      <c r="I38" s="6">
        <v>0</v>
      </c>
      <c r="J38" s="6">
        <f>19*I38^7-6*I38^2-19</f>
        <v>-19</v>
      </c>
    </row>
    <row r="39" spans="1:64" x14ac:dyDescent="0.3">
      <c r="I39" s="6">
        <v>0.1</v>
      </c>
      <c r="J39" s="6">
        <f>19*I39^7-6*I39^2-19</f>
        <v>-19.059998100000001</v>
      </c>
    </row>
    <row r="40" spans="1:64" x14ac:dyDescent="0.3">
      <c r="I40" s="6">
        <v>0.2</v>
      </c>
      <c r="J40" s="6">
        <f t="shared" ref="J40:J53" si="6">19*I40^7-6*I40^2-19</f>
        <v>-19.239756799999999</v>
      </c>
    </row>
    <row r="41" spans="1:64" x14ac:dyDescent="0.3">
      <c r="A41" s="11" t="s">
        <v>8</v>
      </c>
      <c r="B41" s="11" t="s">
        <v>9</v>
      </c>
      <c r="C41" s="11" t="s">
        <v>10</v>
      </c>
      <c r="D41" s="11" t="s">
        <v>11</v>
      </c>
      <c r="E41" s="11" t="s">
        <v>12</v>
      </c>
      <c r="F41" s="11" t="s">
        <v>13</v>
      </c>
      <c r="I41" s="6">
        <v>0.3</v>
      </c>
      <c r="J41" s="6">
        <f t="shared" si="6"/>
        <v>-19.535844699999998</v>
      </c>
    </row>
    <row r="42" spans="1:64" x14ac:dyDescent="0.3">
      <c r="A42" s="7">
        <v>1</v>
      </c>
      <c r="B42" s="7">
        <v>3</v>
      </c>
      <c r="C42" s="7">
        <f>19*B42^7-6*B42^2-19</f>
        <v>41480</v>
      </c>
      <c r="D42" s="7">
        <f>133*B42^6-12*B42</f>
        <v>96921</v>
      </c>
      <c r="E42" s="7">
        <f>B42-C42/D42</f>
        <v>2.5720225750869266</v>
      </c>
      <c r="F42" s="7">
        <f>ABS(((E42-B42)/E42)*100)</f>
        <v>16.63972272477465</v>
      </c>
      <c r="I42" s="6">
        <v>0.4</v>
      </c>
      <c r="J42" s="6">
        <f t="shared" si="6"/>
        <v>-19.928870400000001</v>
      </c>
    </row>
    <row r="43" spans="1:64" x14ac:dyDescent="0.3">
      <c r="A43" s="7">
        <v>2</v>
      </c>
      <c r="B43" s="7">
        <f>E42</f>
        <v>2.5720225750869266</v>
      </c>
      <c r="C43" s="7">
        <f>19*B43^7-6*B43^2-19</f>
        <v>14088.721266762506</v>
      </c>
      <c r="D43" s="7">
        <f>133*B43^6-12*B43</f>
        <v>38472.643603369594</v>
      </c>
      <c r="E43" s="7">
        <f>B43-C43/D43</f>
        <v>2.2058215567215402</v>
      </c>
      <c r="F43" s="7">
        <f>ABS(((E43-B43)/E43)*100)</f>
        <v>16.601570387663731</v>
      </c>
      <c r="I43" s="6">
        <v>0.5</v>
      </c>
      <c r="J43" s="6">
        <f t="shared" si="6"/>
        <v>-20.3515625</v>
      </c>
    </row>
    <row r="44" spans="1:64" x14ac:dyDescent="0.3">
      <c r="A44" s="7">
        <v>3</v>
      </c>
      <c r="B44" s="7">
        <f t="shared" ref="B44:B54" si="7">E43</f>
        <v>2.2058215567215402</v>
      </c>
      <c r="C44" s="7">
        <f t="shared" ref="C44:C54" si="8">19*B44^7-6*B44^2-19</f>
        <v>4779.5723900314779</v>
      </c>
      <c r="D44" s="7">
        <f t="shared" ref="D44:D54" si="9">133*B44^6-12*B44</f>
        <v>15294.064059544435</v>
      </c>
      <c r="E44" s="7">
        <f t="shared" ref="E44:E54" si="10">B44-C44/D44</f>
        <v>1.8933099593185772</v>
      </c>
      <c r="F44" s="7">
        <f t="shared" ref="F44:F54" si="11">ABS(((E44-B44)/E44)*100)</f>
        <v>16.506098003912651</v>
      </c>
      <c r="I44" s="6">
        <v>0.6</v>
      </c>
      <c r="J44" s="6">
        <f t="shared" si="6"/>
        <v>-20.6281216</v>
      </c>
    </row>
    <row r="45" spans="1:64" x14ac:dyDescent="0.3">
      <c r="A45" s="7">
        <v>4</v>
      </c>
      <c r="B45" s="7">
        <f t="shared" si="7"/>
        <v>1.8933099593185772</v>
      </c>
      <c r="C45" s="7">
        <f t="shared" si="8"/>
        <v>1616.4278939200642</v>
      </c>
      <c r="D45" s="7">
        <f>133*B45^6-12*B45</f>
        <v>6103.3503144202859</v>
      </c>
      <c r="E45" s="7">
        <f t="shared" si="10"/>
        <v>1.6284672400499556</v>
      </c>
      <c r="F45" s="7">
        <f t="shared" si="11"/>
        <v>16.263312687855922</v>
      </c>
      <c r="I45" s="6">
        <v>0.7</v>
      </c>
      <c r="J45" s="6">
        <f t="shared" si="6"/>
        <v>-20.375268300000002</v>
      </c>
    </row>
    <row r="46" spans="1:64" x14ac:dyDescent="0.3">
      <c r="A46" s="7">
        <v>5</v>
      </c>
      <c r="B46" s="7">
        <f t="shared" si="7"/>
        <v>1.6284672400499556</v>
      </c>
      <c r="C46" s="7">
        <f t="shared" si="8"/>
        <v>542.12971684919989</v>
      </c>
      <c r="D46" s="7">
        <f t="shared" si="9"/>
        <v>2460.8816720064583</v>
      </c>
      <c r="E46" s="7">
        <f t="shared" si="10"/>
        <v>1.4081682622420633</v>
      </c>
      <c r="F46" s="7">
        <f t="shared" si="11"/>
        <v>15.644364648379147</v>
      </c>
      <c r="I46" s="6">
        <v>0.8</v>
      </c>
      <c r="J46" s="6">
        <f t="shared" si="6"/>
        <v>-18.855411199999999</v>
      </c>
    </row>
    <row r="47" spans="1:64" x14ac:dyDescent="0.3">
      <c r="A47" s="7">
        <v>6</v>
      </c>
      <c r="B47" s="7">
        <f t="shared" si="7"/>
        <v>1.4081682622420633</v>
      </c>
      <c r="C47" s="7">
        <f t="shared" si="8"/>
        <v>177.71253648700582</v>
      </c>
      <c r="D47" s="7">
        <f t="shared" si="9"/>
        <v>1020.1024476758776</v>
      </c>
      <c r="E47" s="7">
        <f t="shared" si="10"/>
        <v>1.2339577828025792</v>
      </c>
      <c r="F47" s="7">
        <f t="shared" si="11"/>
        <v>14.118025905539106</v>
      </c>
      <c r="I47" s="6">
        <v>0.9</v>
      </c>
      <c r="J47" s="6">
        <f t="shared" si="6"/>
        <v>-14.772358899999997</v>
      </c>
    </row>
    <row r="48" spans="1:64" x14ac:dyDescent="0.3">
      <c r="A48" s="7">
        <v>7</v>
      </c>
      <c r="B48" s="7">
        <f t="shared" si="7"/>
        <v>1.2339577828025792</v>
      </c>
      <c r="C48" s="7">
        <f t="shared" si="8"/>
        <v>54.63080281435154</v>
      </c>
      <c r="D48" s="7">
        <f t="shared" si="9"/>
        <v>454.71180765865961</v>
      </c>
      <c r="E48" s="7">
        <f t="shared" si="10"/>
        <v>1.1138139864590246</v>
      </c>
      <c r="F48" s="7">
        <f t="shared" si="11"/>
        <v>10.786702070918414</v>
      </c>
      <c r="I48" s="6">
        <v>1</v>
      </c>
      <c r="J48" s="6">
        <f t="shared" si="6"/>
        <v>-6</v>
      </c>
    </row>
    <row r="49" spans="1:46" x14ac:dyDescent="0.3">
      <c r="A49" s="7">
        <v>8</v>
      </c>
      <c r="B49" s="7">
        <f t="shared" si="7"/>
        <v>1.1138139864590246</v>
      </c>
      <c r="C49" s="7">
        <f t="shared" si="8"/>
        <v>13.962176548265148</v>
      </c>
      <c r="D49" s="7">
        <f t="shared" si="9"/>
        <v>240.57220235011471</v>
      </c>
      <c r="E49" s="7">
        <f t="shared" si="10"/>
        <v>1.0557766221589489</v>
      </c>
      <c r="F49" s="7">
        <f t="shared" si="11"/>
        <v>5.4971253465904226</v>
      </c>
      <c r="I49" s="6">
        <v>1.1000000000000001</v>
      </c>
      <c r="J49" s="6">
        <f t="shared" si="6"/>
        <v>10.765624900000024</v>
      </c>
    </row>
    <row r="50" spans="1:46" x14ac:dyDescent="0.3">
      <c r="A50" s="7">
        <v>9</v>
      </c>
      <c r="B50" s="7">
        <f>E49</f>
        <v>1.0557766221589489</v>
      </c>
      <c r="C50" s="7">
        <f t="shared" si="8"/>
        <v>2.0936550207238653</v>
      </c>
      <c r="D50" s="7">
        <f t="shared" si="9"/>
        <v>171.52824718894337</v>
      </c>
      <c r="E50" s="7">
        <f t="shared" si="10"/>
        <v>1.0435707315547171</v>
      </c>
      <c r="F50" s="7">
        <f t="shared" si="11"/>
        <v>1.1696275331569828</v>
      </c>
      <c r="I50" s="6">
        <v>1.2</v>
      </c>
      <c r="J50" s="6">
        <f t="shared" si="6"/>
        <v>40.440435199999996</v>
      </c>
    </row>
    <row r="51" spans="1:46" x14ac:dyDescent="0.3">
      <c r="A51" s="7">
        <v>10</v>
      </c>
      <c r="B51" s="7">
        <f t="shared" si="7"/>
        <v>1.0435707315547171</v>
      </c>
      <c r="C51" s="7">
        <f t="shared" si="8"/>
        <v>7.5598827228564147E-2</v>
      </c>
      <c r="D51" s="7">
        <f t="shared" si="9"/>
        <v>159.26125840624448</v>
      </c>
      <c r="E51" s="7">
        <f t="shared" si="10"/>
        <v>1.0430960472028221</v>
      </c>
      <c r="F51" s="7">
        <f t="shared" si="11"/>
        <v>4.5507252488199423E-2</v>
      </c>
      <c r="I51" s="6">
        <v>1.3</v>
      </c>
      <c r="J51" s="6">
        <f t="shared" si="6"/>
        <v>90.082182300000056</v>
      </c>
    </row>
    <row r="52" spans="1:46" x14ac:dyDescent="0.3">
      <c r="A52" s="7">
        <v>11</v>
      </c>
      <c r="B52" s="7">
        <f t="shared" si="7"/>
        <v>1.0430960472028221</v>
      </c>
      <c r="C52" s="7">
        <f t="shared" si="8"/>
        <v>1.0983733924518901E-4</v>
      </c>
      <c r="D52" s="7">
        <f t="shared" si="9"/>
        <v>158.79865542225701</v>
      </c>
      <c r="E52" s="7">
        <f t="shared" si="10"/>
        <v>1.0430953555260636</v>
      </c>
      <c r="F52" s="7">
        <f t="shared" si="11"/>
        <v>6.6310021885427356E-5</v>
      </c>
      <c r="I52" s="6">
        <v>1.4</v>
      </c>
      <c r="J52" s="6">
        <f t="shared" si="6"/>
        <v>169.52565759999987</v>
      </c>
    </row>
    <row r="53" spans="1:46" x14ac:dyDescent="0.3">
      <c r="A53" s="7">
        <v>12</v>
      </c>
      <c r="B53" s="7">
        <f t="shared" si="7"/>
        <v>1.0430953555260636</v>
      </c>
      <c r="C53" s="7">
        <f t="shared" si="8"/>
        <v>2.3286972350433643E-10</v>
      </c>
      <c r="D53" s="7">
        <f t="shared" si="9"/>
        <v>158.79798212666148</v>
      </c>
      <c r="E53" s="7">
        <f t="shared" si="10"/>
        <v>1.0430953555245972</v>
      </c>
      <c r="F53" s="7">
        <f t="shared" si="11"/>
        <v>1.4057991564802131E-10</v>
      </c>
      <c r="I53" s="6">
        <v>1.5</v>
      </c>
      <c r="J53" s="6">
        <f t="shared" si="6"/>
        <v>292.1328125</v>
      </c>
    </row>
    <row r="54" spans="1:46" x14ac:dyDescent="0.3">
      <c r="A54" s="12">
        <v>13</v>
      </c>
      <c r="B54" s="12">
        <f t="shared" si="7"/>
        <v>1.0430953555245972</v>
      </c>
      <c r="C54" s="12">
        <f t="shared" si="8"/>
        <v>0</v>
      </c>
      <c r="D54" s="12">
        <f t="shared" si="9"/>
        <v>158.79798212523397</v>
      </c>
      <c r="E54" s="12">
        <f t="shared" si="10"/>
        <v>1.0430953555245972</v>
      </c>
      <c r="F54" s="12">
        <f t="shared" si="11"/>
        <v>0</v>
      </c>
    </row>
    <row r="56" spans="1:4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8" spans="1:46" x14ac:dyDescent="0.3">
      <c r="I58" s="15" t="s">
        <v>14</v>
      </c>
      <c r="J58" s="15" t="s">
        <v>15</v>
      </c>
    </row>
    <row r="59" spans="1:46" x14ac:dyDescent="0.3">
      <c r="I59" s="6">
        <v>0</v>
      </c>
      <c r="J59" s="6">
        <f>I59^3+2*I59^2+10*I59-20</f>
        <v>-20</v>
      </c>
    </row>
    <row r="60" spans="1:46" x14ac:dyDescent="0.3">
      <c r="I60" s="6">
        <v>0.1</v>
      </c>
      <c r="J60" s="6">
        <f>I60^3+2*I60^2+10*I60-20</f>
        <v>-18.978999999999999</v>
      </c>
    </row>
    <row r="61" spans="1:46" x14ac:dyDescent="0.3">
      <c r="I61" s="6">
        <v>0.2</v>
      </c>
      <c r="J61" s="6">
        <f t="shared" ref="J61:J75" si="12">I61^3+2*I61^2+10*I61-20</f>
        <v>-17.911999999999999</v>
      </c>
    </row>
    <row r="62" spans="1:46" x14ac:dyDescent="0.3">
      <c r="A62" s="14" t="s">
        <v>8</v>
      </c>
      <c r="B62" s="14" t="s">
        <v>9</v>
      </c>
      <c r="C62" s="14" t="s">
        <v>10</v>
      </c>
      <c r="D62" s="14" t="s">
        <v>11</v>
      </c>
      <c r="E62" s="14" t="s">
        <v>12</v>
      </c>
      <c r="F62" s="14" t="s">
        <v>13</v>
      </c>
      <c r="I62" s="6">
        <v>0.3</v>
      </c>
      <c r="J62" s="6">
        <f t="shared" si="12"/>
        <v>-16.792999999999999</v>
      </c>
    </row>
    <row r="63" spans="1:46" x14ac:dyDescent="0.3">
      <c r="A63" s="7">
        <v>1</v>
      </c>
      <c r="B63" s="7">
        <v>1</v>
      </c>
      <c r="C63" s="7">
        <f>1*B63^3+2*B63^2+10*B63-20</f>
        <v>-7</v>
      </c>
      <c r="D63" s="7">
        <f>3*B63^2+4*B63+10</f>
        <v>17</v>
      </c>
      <c r="E63" s="7">
        <f>B63-C63/D63</f>
        <v>1.4117647058823528</v>
      </c>
      <c r="F63" s="7">
        <f>ABS(((E63-B63)/E63)*100)</f>
        <v>29.166666666666657</v>
      </c>
      <c r="I63" s="6">
        <v>0.4</v>
      </c>
      <c r="J63" s="6">
        <f t="shared" si="12"/>
        <v>-15.616</v>
      </c>
    </row>
    <row r="64" spans="1:46" x14ac:dyDescent="0.3">
      <c r="A64" s="7">
        <v>2</v>
      </c>
      <c r="B64" s="7">
        <f>E63</f>
        <v>1.4117647058823528</v>
      </c>
      <c r="C64" s="7">
        <f>1*B64^3+2*B64^2+10*B64-20</f>
        <v>0.91756564217382319</v>
      </c>
      <c r="D64" s="7">
        <f>3*B64^2+4*B64+10</f>
        <v>21.626297577854672</v>
      </c>
      <c r="E64" s="7">
        <f>B64-C64/D64</f>
        <v>1.3693364705882352</v>
      </c>
      <c r="F64" s="7">
        <f>ABS(((E64-B64)/E64)*100)</f>
        <v>3.0984521485717438</v>
      </c>
      <c r="I64" s="6">
        <v>0.5</v>
      </c>
      <c r="J64" s="6">
        <f t="shared" si="12"/>
        <v>-14.375</v>
      </c>
    </row>
    <row r="65" spans="1:51" x14ac:dyDescent="0.3">
      <c r="A65" s="7">
        <v>3</v>
      </c>
      <c r="B65" s="7">
        <f t="shared" ref="B65:B68" si="13">E64</f>
        <v>1.3693364705882352</v>
      </c>
      <c r="C65" s="7">
        <f t="shared" ref="C65:C68" si="14">1*B65^3+2*B65^2+10*B65-20</f>
        <v>1.1148119412446533E-2</v>
      </c>
      <c r="D65" s="7">
        <f t="shared" ref="D65:D68" si="15">3*B65^2+4*B65+10</f>
        <v>21.102592991402076</v>
      </c>
      <c r="E65" s="7">
        <f t="shared" ref="E65:E68" si="16">B65-C65/D65</f>
        <v>1.3688081886175318</v>
      </c>
      <c r="F65" s="7">
        <f t="shared" ref="F65:F68" si="17">ABS(((E65-B65)/E65)*100)</f>
        <v>3.8594302335148128E-2</v>
      </c>
      <c r="I65" s="6">
        <v>0.6</v>
      </c>
      <c r="J65" s="6">
        <f t="shared" si="12"/>
        <v>-13.064</v>
      </c>
    </row>
    <row r="66" spans="1:51" x14ac:dyDescent="0.3">
      <c r="A66" s="7">
        <v>4</v>
      </c>
      <c r="B66" s="7">
        <f t="shared" si="13"/>
        <v>1.3688081886175318</v>
      </c>
      <c r="C66" s="7">
        <f t="shared" si="14"/>
        <v>1.7044870723736949E-6</v>
      </c>
      <c r="D66" s="7">
        <f t="shared" si="15"/>
        <v>21.096140326149353</v>
      </c>
      <c r="E66" s="7">
        <f t="shared" si="16"/>
        <v>1.3688081078213745</v>
      </c>
      <c r="F66" s="7">
        <f t="shared" si="17"/>
        <v>5.9026650162635259E-6</v>
      </c>
      <c r="I66" s="6">
        <v>0.7</v>
      </c>
      <c r="J66" s="6">
        <f t="shared" si="12"/>
        <v>-11.677</v>
      </c>
    </row>
    <row r="67" spans="1:51" x14ac:dyDescent="0.3">
      <c r="A67" s="7">
        <v>5</v>
      </c>
      <c r="B67" s="7">
        <f t="shared" si="13"/>
        <v>1.3688081078213745</v>
      </c>
      <c r="C67" s="7">
        <f t="shared" si="14"/>
        <v>3.907985046680551E-14</v>
      </c>
      <c r="D67" s="7">
        <f t="shared" si="15"/>
        <v>21.096139339398093</v>
      </c>
      <c r="E67" s="7">
        <f t="shared" si="16"/>
        <v>1.3688081078213727</v>
      </c>
      <c r="F67" s="7">
        <f t="shared" si="17"/>
        <v>1.2977398579465912E-13</v>
      </c>
      <c r="I67" s="6">
        <v>0.8</v>
      </c>
      <c r="J67" s="6">
        <f t="shared" si="12"/>
        <v>-10.208</v>
      </c>
    </row>
    <row r="68" spans="1:51" x14ac:dyDescent="0.3">
      <c r="A68" s="12">
        <v>6</v>
      </c>
      <c r="B68" s="12">
        <f t="shared" si="13"/>
        <v>1.3688081078213727</v>
      </c>
      <c r="C68" s="12">
        <f t="shared" si="14"/>
        <v>0</v>
      </c>
      <c r="D68" s="12">
        <f t="shared" si="15"/>
        <v>21.096139339398071</v>
      </c>
      <c r="E68" s="12">
        <f t="shared" si="16"/>
        <v>1.3688081078213727</v>
      </c>
      <c r="F68" s="12">
        <f t="shared" si="17"/>
        <v>0</v>
      </c>
      <c r="I68" s="6">
        <v>0.9</v>
      </c>
      <c r="J68" s="6">
        <f t="shared" si="12"/>
        <v>-8.6509999999999998</v>
      </c>
    </row>
    <row r="69" spans="1:51" x14ac:dyDescent="0.3">
      <c r="I69" s="6">
        <v>1</v>
      </c>
      <c r="J69" s="6">
        <f t="shared" si="12"/>
        <v>-7</v>
      </c>
    </row>
    <row r="70" spans="1:51" x14ac:dyDescent="0.3">
      <c r="I70" s="6">
        <v>1.1000000000000001</v>
      </c>
      <c r="J70" s="6">
        <f t="shared" si="12"/>
        <v>-5.2489999999999988</v>
      </c>
    </row>
    <row r="71" spans="1:51" x14ac:dyDescent="0.3">
      <c r="I71" s="6">
        <v>1.2</v>
      </c>
      <c r="J71" s="6">
        <f t="shared" si="12"/>
        <v>-3.3919999999999995</v>
      </c>
    </row>
    <row r="72" spans="1:51" x14ac:dyDescent="0.3">
      <c r="I72" s="6">
        <v>1.3</v>
      </c>
      <c r="J72" s="6">
        <f t="shared" si="12"/>
        <v>-1.4229999999999983</v>
      </c>
    </row>
    <row r="73" spans="1:51" x14ac:dyDescent="0.3">
      <c r="I73" s="6">
        <v>1.4</v>
      </c>
      <c r="J73" s="6">
        <f t="shared" si="12"/>
        <v>0.66399999999999793</v>
      </c>
    </row>
    <row r="74" spans="1:51" x14ac:dyDescent="0.3">
      <c r="I74" s="6">
        <v>1.5</v>
      </c>
      <c r="J74" s="6">
        <f t="shared" si="12"/>
        <v>2.875</v>
      </c>
    </row>
    <row r="75" spans="1:51" x14ac:dyDescent="0.3">
      <c r="I75" s="6">
        <v>1.6</v>
      </c>
      <c r="J75" s="6">
        <f t="shared" si="12"/>
        <v>5.2160000000000011</v>
      </c>
    </row>
    <row r="78" spans="1:5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82" spans="1:10" x14ac:dyDescent="0.3">
      <c r="I82" s="37" t="s">
        <v>14</v>
      </c>
      <c r="J82" s="37" t="s">
        <v>15</v>
      </c>
    </row>
    <row r="83" spans="1:10" x14ac:dyDescent="0.3">
      <c r="I83" s="6">
        <v>0</v>
      </c>
      <c r="J83" s="6">
        <f>1*I83^2+5*I83-20</f>
        <v>-20</v>
      </c>
    </row>
    <row r="84" spans="1:10" x14ac:dyDescent="0.3">
      <c r="A84" s="36" t="s">
        <v>8</v>
      </c>
      <c r="B84" s="36" t="s">
        <v>9</v>
      </c>
      <c r="C84" s="36" t="s">
        <v>10</v>
      </c>
      <c r="D84" s="36" t="s">
        <v>11</v>
      </c>
      <c r="E84" s="36" t="s">
        <v>12</v>
      </c>
      <c r="F84" s="36" t="s">
        <v>13</v>
      </c>
      <c r="I84" s="6">
        <v>0.1</v>
      </c>
      <c r="J84" s="6">
        <f t="shared" ref="J84:J99" si="18">1*I84^2+5*I84-20</f>
        <v>-19.489999999999998</v>
      </c>
    </row>
    <row r="85" spans="1:10" x14ac:dyDescent="0.3">
      <c r="A85" s="7">
        <v>1</v>
      </c>
      <c r="B85" s="7">
        <v>1</v>
      </c>
      <c r="C85" s="7">
        <f>1*B85^2+5*B85-20</f>
        <v>-14</v>
      </c>
      <c r="D85" s="7">
        <f>2*B85+5</f>
        <v>7</v>
      </c>
      <c r="E85" s="7">
        <f>B85-C85/D85</f>
        <v>3</v>
      </c>
      <c r="F85" s="7">
        <f>ABS(((E85-B85)/E85)*100)</f>
        <v>66.666666666666657</v>
      </c>
      <c r="I85" s="6">
        <v>0.2</v>
      </c>
      <c r="J85" s="6">
        <f t="shared" si="18"/>
        <v>-18.96</v>
      </c>
    </row>
    <row r="86" spans="1:10" x14ac:dyDescent="0.3">
      <c r="A86" s="7">
        <v>2</v>
      </c>
      <c r="B86" s="7">
        <f>E85</f>
        <v>3</v>
      </c>
      <c r="C86" s="7">
        <f t="shared" ref="C86:C90" si="19">1*B86^2+5*B86-20</f>
        <v>4</v>
      </c>
      <c r="D86" s="7">
        <f t="shared" ref="D86:D90" si="20">2*B86+5</f>
        <v>11</v>
      </c>
      <c r="E86" s="7">
        <f>B86-C86/D86</f>
        <v>2.6363636363636362</v>
      </c>
      <c r="F86" s="7">
        <f>ABS(((E86-B86)/E86)*100)</f>
        <v>13.793103448275868</v>
      </c>
      <c r="I86" s="6">
        <v>0.3</v>
      </c>
      <c r="J86" s="6">
        <f t="shared" si="18"/>
        <v>-18.41</v>
      </c>
    </row>
    <row r="87" spans="1:10" x14ac:dyDescent="0.3">
      <c r="A87" s="7">
        <v>3</v>
      </c>
      <c r="B87" s="7">
        <f t="shared" ref="B87:B90" si="21">E86</f>
        <v>2.6363636363636362</v>
      </c>
      <c r="C87" s="7">
        <f t="shared" si="19"/>
        <v>0.13223140495867725</v>
      </c>
      <c r="D87" s="7">
        <f t="shared" si="20"/>
        <v>10.272727272727273</v>
      </c>
      <c r="E87" s="7">
        <f t="shared" ref="E87:E90" si="22">B87-C87/D87</f>
        <v>2.6234915526950924</v>
      </c>
      <c r="F87" s="7">
        <f t="shared" ref="F87:F90" si="23">ABS(((E87-B87)/E87)*100)</f>
        <v>0.49064704078503607</v>
      </c>
      <c r="I87" s="6">
        <v>0.4</v>
      </c>
      <c r="J87" s="6">
        <f t="shared" si="18"/>
        <v>-17.84</v>
      </c>
    </row>
    <row r="88" spans="1:10" x14ac:dyDescent="0.3">
      <c r="A88" s="7">
        <v>4</v>
      </c>
      <c r="B88" s="7">
        <f t="shared" si="21"/>
        <v>2.6234915526950924</v>
      </c>
      <c r="C88" s="7">
        <f t="shared" si="19"/>
        <v>1.656905379689988E-4</v>
      </c>
      <c r="D88" s="7">
        <f t="shared" si="20"/>
        <v>10.246983105390186</v>
      </c>
      <c r="E88" s="7">
        <f t="shared" si="22"/>
        <v>2.623475383005315</v>
      </c>
      <c r="F88" s="7">
        <f t="shared" si="23"/>
        <v>6.1634615983449876E-4</v>
      </c>
      <c r="I88" s="6">
        <v>0.5</v>
      </c>
      <c r="J88" s="6">
        <f t="shared" si="18"/>
        <v>-17.25</v>
      </c>
    </row>
    <row r="89" spans="1:10" x14ac:dyDescent="0.3">
      <c r="A89" s="7">
        <v>5</v>
      </c>
      <c r="B89" s="7">
        <f t="shared" si="21"/>
        <v>2.623475383005315</v>
      </c>
      <c r="C89" s="7">
        <f t="shared" si="19"/>
        <v>2.6145841047764407E-10</v>
      </c>
      <c r="D89" s="7">
        <f t="shared" si="20"/>
        <v>10.246950766010631</v>
      </c>
      <c r="E89" s="7">
        <f t="shared" si="22"/>
        <v>2.6234753829797994</v>
      </c>
      <c r="F89" s="7">
        <f t="shared" si="23"/>
        <v>9.7258734755742378E-10</v>
      </c>
      <c r="I89" s="6">
        <v>0.6</v>
      </c>
      <c r="J89" s="6">
        <f t="shared" si="18"/>
        <v>-16.64</v>
      </c>
    </row>
    <row r="90" spans="1:10" x14ac:dyDescent="0.3">
      <c r="A90" s="12">
        <v>6</v>
      </c>
      <c r="B90" s="12">
        <f t="shared" si="21"/>
        <v>2.6234753829797994</v>
      </c>
      <c r="C90" s="12">
        <f t="shared" si="19"/>
        <v>0</v>
      </c>
      <c r="D90" s="12">
        <f t="shared" si="20"/>
        <v>10.2469507659596</v>
      </c>
      <c r="E90" s="12">
        <f t="shared" si="22"/>
        <v>2.6234753829797994</v>
      </c>
      <c r="F90" s="12">
        <f t="shared" si="23"/>
        <v>0</v>
      </c>
      <c r="I90" s="6">
        <v>0.7</v>
      </c>
      <c r="J90" s="6">
        <f t="shared" si="18"/>
        <v>-16.010000000000002</v>
      </c>
    </row>
    <row r="91" spans="1:10" x14ac:dyDescent="0.3">
      <c r="I91" s="6">
        <v>0.8</v>
      </c>
      <c r="J91" s="6">
        <f t="shared" si="18"/>
        <v>-15.36</v>
      </c>
    </row>
    <row r="92" spans="1:10" x14ac:dyDescent="0.3">
      <c r="I92" s="6">
        <v>0.9</v>
      </c>
      <c r="J92" s="6">
        <f t="shared" si="18"/>
        <v>-14.69</v>
      </c>
    </row>
    <row r="93" spans="1:10" x14ac:dyDescent="0.3">
      <c r="I93" s="6">
        <v>1</v>
      </c>
      <c r="J93" s="6">
        <f t="shared" si="18"/>
        <v>-14</v>
      </c>
    </row>
    <row r="94" spans="1:10" x14ac:dyDescent="0.3">
      <c r="I94" s="6">
        <v>1.1000000000000001</v>
      </c>
      <c r="J94" s="6">
        <f t="shared" si="18"/>
        <v>-13.29</v>
      </c>
    </row>
    <row r="95" spans="1:10" x14ac:dyDescent="0.3">
      <c r="I95" s="6">
        <v>1.2</v>
      </c>
      <c r="J95" s="6">
        <f t="shared" si="18"/>
        <v>-12.56</v>
      </c>
    </row>
    <row r="96" spans="1:10" x14ac:dyDescent="0.3">
      <c r="I96" s="6">
        <v>1.3</v>
      </c>
      <c r="J96" s="6">
        <f t="shared" si="18"/>
        <v>-11.81</v>
      </c>
    </row>
    <row r="97" spans="1:58" x14ac:dyDescent="0.3">
      <c r="I97" s="6">
        <v>1.4</v>
      </c>
      <c r="J97" s="6">
        <f t="shared" si="18"/>
        <v>-11.040000000000001</v>
      </c>
    </row>
    <row r="98" spans="1:58" x14ac:dyDescent="0.3">
      <c r="I98" s="6">
        <v>1.5</v>
      </c>
      <c r="J98" s="6">
        <f t="shared" si="18"/>
        <v>-10.25</v>
      </c>
    </row>
    <row r="99" spans="1:58" x14ac:dyDescent="0.3">
      <c r="I99" s="6">
        <v>1.6</v>
      </c>
      <c r="J99" s="6">
        <f t="shared" si="18"/>
        <v>-9.44</v>
      </c>
    </row>
    <row r="109" spans="1:5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</row>
    <row r="111" spans="1:58" x14ac:dyDescent="0.3">
      <c r="I111" s="17" t="s">
        <v>14</v>
      </c>
      <c r="J111" s="17" t="s">
        <v>15</v>
      </c>
    </row>
    <row r="112" spans="1:58" x14ac:dyDescent="0.3">
      <c r="I112" s="6">
        <v>0</v>
      </c>
      <c r="J112" s="6">
        <f>I112^3-I112-1</f>
        <v>-1</v>
      </c>
    </row>
    <row r="113" spans="1:10" x14ac:dyDescent="0.3">
      <c r="I113" s="6">
        <v>0.2</v>
      </c>
      <c r="J113" s="6">
        <f>I113^3-I113-1</f>
        <v>-1.1919999999999999</v>
      </c>
    </row>
    <row r="114" spans="1:10" x14ac:dyDescent="0.3">
      <c r="I114" s="6">
        <v>0.4</v>
      </c>
      <c r="J114" s="6">
        <f t="shared" ref="J114:J122" si="24">I114^3-I114-1</f>
        <v>-1.3360000000000001</v>
      </c>
    </row>
    <row r="115" spans="1:10" x14ac:dyDescent="0.3">
      <c r="A115" s="16" t="s">
        <v>16</v>
      </c>
      <c r="B115" s="16" t="s">
        <v>17</v>
      </c>
      <c r="C115" s="16" t="s">
        <v>18</v>
      </c>
      <c r="D115" s="16" t="s">
        <v>19</v>
      </c>
      <c r="E115" s="16" t="s">
        <v>20</v>
      </c>
      <c r="F115" s="16" t="s">
        <v>13</v>
      </c>
      <c r="I115" s="6">
        <v>0.6</v>
      </c>
      <c r="J115" s="6">
        <f t="shared" si="24"/>
        <v>-1.3839999999999999</v>
      </c>
    </row>
    <row r="116" spans="1:10" x14ac:dyDescent="0.3">
      <c r="A116" s="7">
        <v>1</v>
      </c>
      <c r="B116" s="7">
        <v>2</v>
      </c>
      <c r="C116" s="7">
        <f>B116^3-B116-1</f>
        <v>5</v>
      </c>
      <c r="D116" s="7">
        <f>(3*(B116^2))-1</f>
        <v>11</v>
      </c>
      <c r="E116" s="7">
        <f>B116-(C116/D116)</f>
        <v>1.5454545454545454</v>
      </c>
      <c r="F116" s="7">
        <f>ABS(((E116-B116)/E116)*100)</f>
        <v>29.411764705882355</v>
      </c>
      <c r="I116" s="6">
        <v>0.8</v>
      </c>
      <c r="J116" s="6">
        <f t="shared" si="24"/>
        <v>-1.2879999999999998</v>
      </c>
    </row>
    <row r="117" spans="1:10" x14ac:dyDescent="0.3">
      <c r="A117" s="7">
        <v>2</v>
      </c>
      <c r="B117" s="7">
        <f t="shared" ref="B117:B122" si="25">E116</f>
        <v>1.5454545454545454</v>
      </c>
      <c r="C117" s="7">
        <f t="shared" ref="C117:C122" si="26">B117^3-B117-1</f>
        <v>1.1457550713749058</v>
      </c>
      <c r="D117" s="7">
        <f t="shared" ref="D117:D122" si="27">(3*(B117^2))-1</f>
        <v>6.1652892561983466</v>
      </c>
      <c r="E117" s="7">
        <f t="shared" ref="E117:E122" si="28">B117-(C117/D117)</f>
        <v>1.359614915915184</v>
      </c>
      <c r="F117" s="7">
        <f t="shared" ref="F117:F122" si="29">ABS(((E117-B117)/E117)*100)</f>
        <v>13.668548893071611</v>
      </c>
      <c r="I117" s="6">
        <v>1</v>
      </c>
      <c r="J117" s="6">
        <f t="shared" si="24"/>
        <v>-1</v>
      </c>
    </row>
    <row r="118" spans="1:10" x14ac:dyDescent="0.3">
      <c r="A118" s="7">
        <v>3</v>
      </c>
      <c r="B118" s="7">
        <f t="shared" si="25"/>
        <v>1.359614915915184</v>
      </c>
      <c r="C118" s="7">
        <f t="shared" si="26"/>
        <v>0.15370493448007472</v>
      </c>
      <c r="D118" s="7">
        <f t="shared" si="27"/>
        <v>4.5456581587371589</v>
      </c>
      <c r="E118" s="7">
        <f t="shared" si="28"/>
        <v>1.325801345005845</v>
      </c>
      <c r="F118" s="7">
        <f t="shared" si="29"/>
        <v>2.5504251475314299</v>
      </c>
      <c r="I118" s="6">
        <v>1.2</v>
      </c>
      <c r="J118" s="6">
        <f t="shared" si="24"/>
        <v>-0.47199999999999998</v>
      </c>
    </row>
    <row r="119" spans="1:10" x14ac:dyDescent="0.3">
      <c r="A119" s="7">
        <v>4</v>
      </c>
      <c r="B119" s="7">
        <f t="shared" si="25"/>
        <v>1.325801345005845</v>
      </c>
      <c r="C119" s="7">
        <f t="shared" si="26"/>
        <v>4.6249170478298574E-3</v>
      </c>
      <c r="D119" s="7">
        <f t="shared" si="27"/>
        <v>4.2732476192579227</v>
      </c>
      <c r="E119" s="7">
        <f t="shared" si="28"/>
        <v>1.3247190494171253</v>
      </c>
      <c r="F119" s="7">
        <f t="shared" si="29"/>
        <v>8.1700009462078713E-2</v>
      </c>
      <c r="I119" s="6">
        <v>1.4</v>
      </c>
      <c r="J119" s="6">
        <f t="shared" si="24"/>
        <v>0.34399999999999942</v>
      </c>
    </row>
    <row r="120" spans="1:10" x14ac:dyDescent="0.3">
      <c r="A120" s="7">
        <v>5</v>
      </c>
      <c r="B120" s="7">
        <f t="shared" si="25"/>
        <v>1.3247190494171253</v>
      </c>
      <c r="C120" s="7">
        <f t="shared" si="26"/>
        <v>4.6577191092911363E-6</v>
      </c>
      <c r="D120" s="7">
        <f t="shared" si="27"/>
        <v>4.2646416796658357</v>
      </c>
      <c r="E120" s="7">
        <f t="shared" si="28"/>
        <v>1.3247179572458576</v>
      </c>
      <c r="F120" s="7">
        <f t="shared" si="29"/>
        <v>8.2445569766240252E-5</v>
      </c>
      <c r="I120" s="6">
        <v>1.6</v>
      </c>
      <c r="J120" s="6">
        <f t="shared" si="24"/>
        <v>1.4960000000000009</v>
      </c>
    </row>
    <row r="121" spans="1:10" x14ac:dyDescent="0.3">
      <c r="A121" s="7">
        <v>6</v>
      </c>
      <c r="B121" s="7">
        <f t="shared" si="25"/>
        <v>1.3247179572458576</v>
      </c>
      <c r="C121" s="7">
        <f t="shared" si="26"/>
        <v>4.7404302705444934E-12</v>
      </c>
      <c r="D121" s="7">
        <f t="shared" si="27"/>
        <v>4.2646329987489136</v>
      </c>
      <c r="E121" s="7">
        <f t="shared" si="28"/>
        <v>1.3247179572447461</v>
      </c>
      <c r="F121" s="7">
        <f t="shared" si="29"/>
        <v>8.3908826492139356E-11</v>
      </c>
      <c r="I121" s="6">
        <v>1.8</v>
      </c>
      <c r="J121" s="6">
        <f t="shared" si="24"/>
        <v>3.0320000000000009</v>
      </c>
    </row>
    <row r="122" spans="1:10" x14ac:dyDescent="0.3">
      <c r="A122" s="12">
        <v>7</v>
      </c>
      <c r="B122" s="12">
        <f t="shared" si="25"/>
        <v>1.3247179572447461</v>
      </c>
      <c r="C122" s="12">
        <f t="shared" si="26"/>
        <v>0</v>
      </c>
      <c r="D122" s="12">
        <f t="shared" si="27"/>
        <v>4.2646329987400788</v>
      </c>
      <c r="E122" s="12">
        <f t="shared" si="28"/>
        <v>1.3247179572447461</v>
      </c>
      <c r="F122" s="12">
        <f t="shared" si="29"/>
        <v>0</v>
      </c>
      <c r="I122" s="6">
        <v>2</v>
      </c>
      <c r="J122" s="6">
        <f t="shared" si="24"/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>
    <tabColor rgb="FFFF0000"/>
  </sheetPr>
  <dimension ref="A1:DC100"/>
  <sheetViews>
    <sheetView topLeftCell="A82" zoomScale="81" zoomScaleNormal="85" workbookViewId="0">
      <selection activeCell="J90" sqref="J90"/>
    </sheetView>
  </sheetViews>
  <sheetFormatPr baseColWidth="10" defaultRowHeight="14.4" x14ac:dyDescent="0.3"/>
  <cols>
    <col min="1" max="3" width="11.6640625" bestFit="1" customWidth="1"/>
    <col min="4" max="5" width="15.109375" bestFit="1" customWidth="1"/>
    <col min="6" max="6" width="11.6640625" bestFit="1" customWidth="1"/>
    <col min="7" max="7" width="14.109375" bestFit="1" customWidth="1"/>
  </cols>
  <sheetData>
    <row r="1" spans="1:107" ht="23.4" x14ac:dyDescent="0.45">
      <c r="B1" s="1" t="s">
        <v>21</v>
      </c>
    </row>
    <row r="3" spans="1:107" x14ac:dyDescent="0.3">
      <c r="F3" s="2" t="s">
        <v>1</v>
      </c>
      <c r="G3" s="2" t="s">
        <v>2</v>
      </c>
    </row>
    <row r="4" spans="1:107" x14ac:dyDescent="0.3">
      <c r="F4" s="19">
        <v>1</v>
      </c>
      <c r="G4" s="20" t="s">
        <v>31</v>
      </c>
    </row>
    <row r="5" spans="1:107" x14ac:dyDescent="0.3">
      <c r="F5" s="19">
        <v>2</v>
      </c>
      <c r="G5" s="20" t="s">
        <v>32</v>
      </c>
    </row>
    <row r="6" spans="1:107" x14ac:dyDescent="0.3">
      <c r="F6" s="19">
        <v>3</v>
      </c>
      <c r="G6" s="20" t="s">
        <v>33</v>
      </c>
    </row>
    <row r="7" spans="1:107" x14ac:dyDescent="0.3">
      <c r="F7" s="19">
        <v>4</v>
      </c>
      <c r="G7" s="20" t="s">
        <v>6</v>
      </c>
    </row>
    <row r="8" spans="1:107" x14ac:dyDescent="0.3">
      <c r="G8" s="3"/>
    </row>
    <row r="14" spans="1:10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3">
      <c r="J15" s="6" t="s">
        <v>14</v>
      </c>
      <c r="K15" s="6" t="s">
        <v>15</v>
      </c>
    </row>
    <row r="16" spans="1:107" x14ac:dyDescent="0.3">
      <c r="D16" t="s">
        <v>29</v>
      </c>
      <c r="J16" s="6">
        <v>-1</v>
      </c>
      <c r="K16" s="6">
        <f t="shared" ref="K16:K30" si="0">euler^-J16-J16</f>
        <v>3.7182818284590451</v>
      </c>
    </row>
    <row r="17" spans="1:20" x14ac:dyDescent="0.3">
      <c r="D17">
        <f>EXP(1)</f>
        <v>2.7182818284590451</v>
      </c>
      <c r="J17" s="6">
        <v>-0.5</v>
      </c>
      <c r="K17" s="6">
        <f>euler^-J17-J17</f>
        <v>2.1487212707001282</v>
      </c>
    </row>
    <row r="18" spans="1:20" x14ac:dyDescent="0.3">
      <c r="J18" s="6">
        <v>0</v>
      </c>
      <c r="K18" s="6">
        <f t="shared" si="0"/>
        <v>1</v>
      </c>
    </row>
    <row r="19" spans="1:20" x14ac:dyDescent="0.3">
      <c r="J19" s="6">
        <v>0.1</v>
      </c>
      <c r="K19" s="6">
        <f t="shared" si="0"/>
        <v>0.80483741803595954</v>
      </c>
    </row>
    <row r="20" spans="1:20" x14ac:dyDescent="0.3">
      <c r="J20" s="6">
        <v>0.2</v>
      </c>
      <c r="K20" s="6">
        <f t="shared" si="0"/>
        <v>0.61873075307798175</v>
      </c>
    </row>
    <row r="21" spans="1:20" x14ac:dyDescent="0.3">
      <c r="A21" s="6" t="s">
        <v>22</v>
      </c>
      <c r="B21" s="6" t="s">
        <v>23</v>
      </c>
      <c r="C21" s="6" t="s">
        <v>24</v>
      </c>
      <c r="D21" s="6" t="s">
        <v>26</v>
      </c>
      <c r="E21" s="6" t="s">
        <v>25</v>
      </c>
      <c r="F21" s="6" t="s">
        <v>27</v>
      </c>
      <c r="G21" s="6" t="s">
        <v>28</v>
      </c>
      <c r="J21" s="6">
        <v>0.3</v>
      </c>
      <c r="K21" s="6">
        <f t="shared" si="0"/>
        <v>0.44081822068171789</v>
      </c>
      <c r="T21" s="21"/>
    </row>
    <row r="22" spans="1:20" x14ac:dyDescent="0.3">
      <c r="A22" s="6">
        <v>1</v>
      </c>
      <c r="B22" s="6">
        <v>0</v>
      </c>
      <c r="C22" s="6">
        <v>1</v>
      </c>
      <c r="D22" s="6">
        <f t="shared" ref="D22:E29" si="1">euler^-B22-B22</f>
        <v>1</v>
      </c>
      <c r="E22" s="6">
        <f t="shared" si="1"/>
        <v>-0.63212055882855767</v>
      </c>
      <c r="F22" s="6">
        <f>C22-(E22*(B22-C22))/(D22-E22)</f>
        <v>0.61269983678028206</v>
      </c>
      <c r="G22" s="6"/>
      <c r="J22" s="6">
        <v>0.4</v>
      </c>
      <c r="K22" s="6">
        <f t="shared" si="0"/>
        <v>0.27032004603563931</v>
      </c>
    </row>
    <row r="23" spans="1:20" x14ac:dyDescent="0.3">
      <c r="A23" s="6">
        <v>2</v>
      </c>
      <c r="B23" s="6">
        <f>C22</f>
        <v>1</v>
      </c>
      <c r="C23" s="6">
        <f>F22</f>
        <v>0.61269983678028206</v>
      </c>
      <c r="D23" s="6">
        <f t="shared" si="1"/>
        <v>-0.63212055882855767</v>
      </c>
      <c r="E23" s="6">
        <f t="shared" si="1"/>
        <v>-7.0813947873170968E-2</v>
      </c>
      <c r="F23" s="6">
        <f>C23-(E23*(B23-C23))/(D23-E23)</f>
        <v>0.5638383891610742</v>
      </c>
      <c r="G23" s="6">
        <f>ABS((C23-C22)/C23)*100</f>
        <v>63.212055882855765</v>
      </c>
      <c r="J23" s="6">
        <v>0.5</v>
      </c>
      <c r="K23" s="6">
        <f t="shared" si="0"/>
        <v>0.10653065971263342</v>
      </c>
    </row>
    <row r="24" spans="1:20" x14ac:dyDescent="0.3">
      <c r="A24" s="6">
        <v>3</v>
      </c>
      <c r="B24" s="6">
        <f t="shared" ref="B24:B28" si="2">C23</f>
        <v>0.61269983678028206</v>
      </c>
      <c r="C24" s="6">
        <f t="shared" ref="C24:C28" si="3">F23</f>
        <v>0.5638383891610742</v>
      </c>
      <c r="D24" s="6">
        <f t="shared" si="1"/>
        <v>-7.0813947873170968E-2</v>
      </c>
      <c r="E24" s="6">
        <f t="shared" si="1"/>
        <v>5.1823545073383936E-3</v>
      </c>
      <c r="F24" s="6">
        <f t="shared" ref="F24:F28" si="4">C24-(E24*(B24-C24))/(D24-E24)</f>
        <v>0.56717035841974461</v>
      </c>
      <c r="G24" s="6">
        <f t="shared" ref="G24:G28" si="5">ABS((C24-C23)/C24)*100</f>
        <v>8.6658603880995049</v>
      </c>
      <c r="J24" s="6">
        <v>0.6</v>
      </c>
      <c r="K24" s="6">
        <f t="shared" si="0"/>
        <v>-5.1188363905973477E-2</v>
      </c>
    </row>
    <row r="25" spans="1:20" x14ac:dyDescent="0.3">
      <c r="A25" s="6">
        <v>4</v>
      </c>
      <c r="B25" s="6">
        <f t="shared" si="2"/>
        <v>0.5638383891610742</v>
      </c>
      <c r="C25" s="6">
        <f t="shared" si="3"/>
        <v>0.56717035841974461</v>
      </c>
      <c r="D25" s="6">
        <f t="shared" si="1"/>
        <v>5.1823545073383936E-3</v>
      </c>
      <c r="E25" s="6">
        <f t="shared" si="1"/>
        <v>-4.2419242430091764E-5</v>
      </c>
      <c r="F25" s="6">
        <f t="shared" si="4"/>
        <v>0.56714330660496326</v>
      </c>
      <c r="G25" s="6">
        <f t="shared" si="5"/>
        <v>0.58747238976909377</v>
      </c>
      <c r="J25" s="6">
        <v>0.7</v>
      </c>
      <c r="K25" s="6">
        <f t="shared" si="0"/>
        <v>-0.20341469620859048</v>
      </c>
    </row>
    <row r="26" spans="1:20" x14ac:dyDescent="0.3">
      <c r="A26" s="6">
        <v>5</v>
      </c>
      <c r="B26" s="6">
        <f t="shared" si="2"/>
        <v>0.56717035841974461</v>
      </c>
      <c r="C26" s="6">
        <f t="shared" si="3"/>
        <v>0.56714330660496326</v>
      </c>
      <c r="D26" s="6">
        <f t="shared" si="1"/>
        <v>-4.2419242430091764E-5</v>
      </c>
      <c r="E26" s="6">
        <f t="shared" si="1"/>
        <v>-2.5380166635002865E-8</v>
      </c>
      <c r="F26" s="6">
        <f t="shared" si="4"/>
        <v>0.56714329040970457</v>
      </c>
      <c r="G26" s="6">
        <f t="shared" si="5"/>
        <v>4.7698376171079922E-3</v>
      </c>
      <c r="J26" s="6">
        <v>0.8</v>
      </c>
      <c r="K26" s="6">
        <f t="shared" si="0"/>
        <v>-0.35067103588277848</v>
      </c>
    </row>
    <row r="27" spans="1:20" x14ac:dyDescent="0.3">
      <c r="A27" s="6">
        <v>6</v>
      </c>
      <c r="B27" s="6">
        <f t="shared" si="2"/>
        <v>0.56714330660496326</v>
      </c>
      <c r="C27" s="6">
        <f t="shared" si="3"/>
        <v>0.56714329040970457</v>
      </c>
      <c r="D27" s="6">
        <f t="shared" si="1"/>
        <v>-2.5380166635002865E-8</v>
      </c>
      <c r="E27" s="6">
        <f t="shared" si="1"/>
        <v>1.2423395645555502E-13</v>
      </c>
      <c r="F27" s="6">
        <f t="shared" si="4"/>
        <v>0.56714329040978384</v>
      </c>
      <c r="G27" s="6">
        <f t="shared" si="5"/>
        <v>2.8555849929879191E-6</v>
      </c>
      <c r="J27" s="6">
        <v>0.9</v>
      </c>
      <c r="K27" s="6">
        <f t="shared" si="0"/>
        <v>-0.49343034025940097</v>
      </c>
    </row>
    <row r="28" spans="1:20" x14ac:dyDescent="0.3">
      <c r="A28" s="18">
        <v>7</v>
      </c>
      <c r="B28" s="18">
        <f t="shared" si="2"/>
        <v>0.56714329040970457</v>
      </c>
      <c r="C28" s="18">
        <f t="shared" si="3"/>
        <v>0.56714329040978384</v>
      </c>
      <c r="D28" s="18">
        <f t="shared" si="1"/>
        <v>1.2423395645555502E-13</v>
      </c>
      <c r="E28" s="18">
        <f t="shared" si="1"/>
        <v>0</v>
      </c>
      <c r="F28" s="18">
        <f t="shared" si="4"/>
        <v>0.56714329040978384</v>
      </c>
      <c r="G28" s="18">
        <f t="shared" si="5"/>
        <v>1.3977054000050053E-11</v>
      </c>
      <c r="J28" s="6">
        <v>1</v>
      </c>
      <c r="K28" s="6">
        <f t="shared" si="0"/>
        <v>-0.63212055882855767</v>
      </c>
    </row>
    <row r="29" spans="1:20" x14ac:dyDescent="0.3">
      <c r="A29" s="6">
        <v>8</v>
      </c>
      <c r="B29" s="6">
        <f>C28</f>
        <v>0.56714329040978384</v>
      </c>
      <c r="C29" s="6">
        <f>F28</f>
        <v>0.56714329040978384</v>
      </c>
      <c r="D29" s="6">
        <f t="shared" si="1"/>
        <v>0</v>
      </c>
      <c r="E29" s="6">
        <f t="shared" si="1"/>
        <v>0</v>
      </c>
      <c r="F29" s="6" t="e">
        <f>C29-(E29*(B29-C29))/(D29-E29)</f>
        <v>#DIV/0!</v>
      </c>
      <c r="G29" s="6">
        <f>ABS((C29-C28)/C29)*100</f>
        <v>0</v>
      </c>
      <c r="J29" s="6">
        <v>1.5</v>
      </c>
      <c r="K29" s="6">
        <f t="shared" si="0"/>
        <v>-1.2768698398515701</v>
      </c>
    </row>
    <row r="30" spans="1:20" x14ac:dyDescent="0.3">
      <c r="J30" s="6">
        <v>2</v>
      </c>
      <c r="K30" s="6">
        <f t="shared" si="0"/>
        <v>-1.8646647167633872</v>
      </c>
    </row>
    <row r="33" spans="1:69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</row>
    <row r="34" spans="1:69" x14ac:dyDescent="0.3">
      <c r="J34" s="6" t="s">
        <v>14</v>
      </c>
      <c r="K34" s="6" t="s">
        <v>15</v>
      </c>
    </row>
    <row r="35" spans="1:69" x14ac:dyDescent="0.3">
      <c r="J35" s="6">
        <v>-0.5</v>
      </c>
      <c r="K35" s="6">
        <f>4*J35^2-5*J35</f>
        <v>3.5</v>
      </c>
    </row>
    <row r="36" spans="1:69" x14ac:dyDescent="0.3">
      <c r="J36" s="6">
        <v>0</v>
      </c>
      <c r="K36" s="6">
        <f t="shared" ref="K36:K41" si="6">4*J36^2-5*J36</f>
        <v>0</v>
      </c>
    </row>
    <row r="37" spans="1:69" x14ac:dyDescent="0.3">
      <c r="J37" s="6">
        <v>0.5</v>
      </c>
      <c r="K37" s="6">
        <f t="shared" si="6"/>
        <v>-1.5</v>
      </c>
    </row>
    <row r="38" spans="1:69" x14ac:dyDescent="0.3">
      <c r="J38" s="6">
        <v>1</v>
      </c>
      <c r="K38" s="6">
        <f t="shared" si="6"/>
        <v>-1</v>
      </c>
    </row>
    <row r="39" spans="1:69" x14ac:dyDescent="0.3">
      <c r="J39" s="6">
        <v>1.25</v>
      </c>
      <c r="K39" s="6">
        <f t="shared" si="6"/>
        <v>0</v>
      </c>
    </row>
    <row r="40" spans="1:69" x14ac:dyDescent="0.3">
      <c r="A40" s="6" t="s">
        <v>22</v>
      </c>
      <c r="B40" s="6" t="s">
        <v>23</v>
      </c>
      <c r="C40" s="6" t="s">
        <v>24</v>
      </c>
      <c r="D40" s="6" t="s">
        <v>26</v>
      </c>
      <c r="E40" s="6" t="s">
        <v>25</v>
      </c>
      <c r="F40" s="6" t="s">
        <v>27</v>
      </c>
      <c r="G40" s="6" t="s">
        <v>28</v>
      </c>
      <c r="J40" s="6">
        <v>1.5</v>
      </c>
      <c r="K40" s="6">
        <f t="shared" si="6"/>
        <v>1.5</v>
      </c>
    </row>
    <row r="41" spans="1:69" x14ac:dyDescent="0.3">
      <c r="A41" s="6">
        <v>1</v>
      </c>
      <c r="B41" s="6">
        <v>1.6</v>
      </c>
      <c r="C41" s="6">
        <v>1</v>
      </c>
      <c r="D41" s="6">
        <f>4*B41^2-5*B41</f>
        <v>2.240000000000002</v>
      </c>
      <c r="E41" s="6">
        <f>4*C41^2-5*C41</f>
        <v>-1</v>
      </c>
      <c r="F41" s="6">
        <f>C41-(E41*(B41-C41))/(D41-E41)</f>
        <v>1.1851851851851851</v>
      </c>
      <c r="G41" s="6"/>
      <c r="J41" s="6">
        <v>2</v>
      </c>
      <c r="K41" s="6">
        <f t="shared" si="6"/>
        <v>6</v>
      </c>
    </row>
    <row r="42" spans="1:69" x14ac:dyDescent="0.3">
      <c r="A42" s="6">
        <v>2</v>
      </c>
      <c r="B42" s="6">
        <f>C41</f>
        <v>1</v>
      </c>
      <c r="C42" s="6">
        <f>F41</f>
        <v>1.1851851851851851</v>
      </c>
      <c r="D42" s="6">
        <f>4*B42^2-5*B42</f>
        <v>-1</v>
      </c>
      <c r="E42" s="6">
        <f>4*C42^2-5*C42</f>
        <v>-0.3072702331961592</v>
      </c>
      <c r="F42" s="6">
        <f>C42-(E42*(B42-C42))/(D42-E42)</f>
        <v>1.2673267326732673</v>
      </c>
      <c r="G42" s="6">
        <f>ABS((C42-C41)/C42)*100</f>
        <v>15.624999999999995</v>
      </c>
    </row>
    <row r="43" spans="1:69" x14ac:dyDescent="0.3">
      <c r="A43" s="6">
        <v>3</v>
      </c>
      <c r="B43" s="6">
        <f t="shared" ref="B43:B48" si="7">C42</f>
        <v>1.1851851851851851</v>
      </c>
      <c r="C43" s="6">
        <f t="shared" ref="C43:C48" si="8">F42</f>
        <v>1.2673267326732673</v>
      </c>
      <c r="D43" s="6">
        <f t="shared" ref="D43:D48" si="9">4*B43^2-5*B43</f>
        <v>-0.3072702331961592</v>
      </c>
      <c r="E43" s="6">
        <f t="shared" ref="E43:E48" si="10">4*C43^2-5*C43</f>
        <v>8.783452602686026E-2</v>
      </c>
      <c r="F43" s="6">
        <f t="shared" ref="F43:F48" si="11">C43-(E43*(B43-C43))/(D43-E43)</f>
        <v>1.249066097430815</v>
      </c>
      <c r="G43" s="6">
        <f t="shared" ref="G43:G48" si="12">ABS((C43-C42)/C43)*100</f>
        <v>6.4814814814814881</v>
      </c>
    </row>
    <row r="44" spans="1:69" x14ac:dyDescent="0.3">
      <c r="A44" s="6">
        <v>4</v>
      </c>
      <c r="B44" s="6">
        <f t="shared" si="7"/>
        <v>1.2673267326732673</v>
      </c>
      <c r="C44" s="6">
        <f t="shared" si="8"/>
        <v>1.249066097430815</v>
      </c>
      <c r="D44" s="6">
        <f t="shared" si="9"/>
        <v>8.783452602686026E-2</v>
      </c>
      <c r="E44" s="6">
        <f t="shared" si="10"/>
        <v>-4.6660241498894806E-3</v>
      </c>
      <c r="F44" s="6">
        <f t="shared" si="11"/>
        <v>1.2499872223848913</v>
      </c>
      <c r="G44" s="6">
        <f t="shared" si="12"/>
        <v>1.4619430693069313</v>
      </c>
    </row>
    <row r="45" spans="1:69" x14ac:dyDescent="0.3">
      <c r="A45" s="6">
        <v>5</v>
      </c>
      <c r="B45" s="6">
        <f t="shared" si="7"/>
        <v>1.249066097430815</v>
      </c>
      <c r="C45" s="6">
        <f t="shared" si="8"/>
        <v>1.2499872223848913</v>
      </c>
      <c r="D45" s="6">
        <f t="shared" si="9"/>
        <v>-4.6660241498894806E-3</v>
      </c>
      <c r="E45" s="6">
        <f t="shared" si="10"/>
        <v>-6.3887422474095956E-5</v>
      </c>
      <c r="F45" s="6">
        <f t="shared" si="11"/>
        <v>1.2500000095536736</v>
      </c>
      <c r="G45" s="6">
        <f t="shared" si="12"/>
        <v>7.369074959973787E-2</v>
      </c>
    </row>
    <row r="46" spans="1:69" x14ac:dyDescent="0.3">
      <c r="A46" s="6">
        <v>6</v>
      </c>
      <c r="B46" s="6">
        <f t="shared" si="7"/>
        <v>1.2499872223848913</v>
      </c>
      <c r="C46" s="6">
        <f t="shared" si="8"/>
        <v>1.2500000095536736</v>
      </c>
      <c r="D46" s="6">
        <f t="shared" si="9"/>
        <v>-6.3887422474095956E-5</v>
      </c>
      <c r="E46" s="6">
        <f t="shared" si="10"/>
        <v>4.7768368816036855E-8</v>
      </c>
      <c r="F46" s="6">
        <f t="shared" si="11"/>
        <v>1.2499999999999023</v>
      </c>
      <c r="G46" s="6">
        <f t="shared" si="12"/>
        <v>1.0229734947638789E-3</v>
      </c>
    </row>
    <row r="47" spans="1:69" x14ac:dyDescent="0.3">
      <c r="A47" s="6">
        <v>7</v>
      </c>
      <c r="B47" s="6">
        <f t="shared" si="7"/>
        <v>1.2500000095536736</v>
      </c>
      <c r="C47" s="6">
        <f t="shared" si="8"/>
        <v>1.2499999999999023</v>
      </c>
      <c r="D47" s="6">
        <f t="shared" si="9"/>
        <v>4.7768368816036855E-8</v>
      </c>
      <c r="E47" s="6">
        <f t="shared" si="10"/>
        <v>-4.8849813083506888E-13</v>
      </c>
      <c r="F47" s="6">
        <f t="shared" si="11"/>
        <v>1.25</v>
      </c>
      <c r="G47" s="6">
        <f t="shared" si="12"/>
        <v>7.6430170636860161E-7</v>
      </c>
    </row>
    <row r="48" spans="1:69" x14ac:dyDescent="0.3">
      <c r="A48" s="18">
        <v>8</v>
      </c>
      <c r="B48" s="18">
        <f t="shared" si="7"/>
        <v>1.2499999999999023</v>
      </c>
      <c r="C48" s="18">
        <f t="shared" si="8"/>
        <v>1.25</v>
      </c>
      <c r="D48" s="18">
        <f t="shared" si="9"/>
        <v>-4.8849813083506888E-13</v>
      </c>
      <c r="E48" s="18">
        <f t="shared" si="10"/>
        <v>0</v>
      </c>
      <c r="F48" s="18">
        <f t="shared" si="11"/>
        <v>1.25</v>
      </c>
      <c r="G48" s="18">
        <f t="shared" si="12"/>
        <v>7.815970093361102E-12</v>
      </c>
    </row>
    <row r="50" spans="1:83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</row>
    <row r="51" spans="1:83" x14ac:dyDescent="0.3">
      <c r="J51" s="6" t="s">
        <v>30</v>
      </c>
      <c r="K51" s="6" t="s">
        <v>15</v>
      </c>
    </row>
    <row r="52" spans="1:83" x14ac:dyDescent="0.3">
      <c r="J52" s="6">
        <v>-0.5</v>
      </c>
      <c r="K52" s="6">
        <f>J52^3-5*J52+1</f>
        <v>3.375</v>
      </c>
    </row>
    <row r="53" spans="1:83" x14ac:dyDescent="0.3">
      <c r="J53" s="6">
        <v>0</v>
      </c>
      <c r="K53" s="6">
        <f t="shared" ref="K53:K61" si="13">J53^3-5*J53+1</f>
        <v>1</v>
      </c>
    </row>
    <row r="54" spans="1:83" x14ac:dyDescent="0.3">
      <c r="J54" s="6">
        <v>0.1</v>
      </c>
      <c r="K54" s="6">
        <f t="shared" si="13"/>
        <v>0.501</v>
      </c>
    </row>
    <row r="55" spans="1:83" x14ac:dyDescent="0.3">
      <c r="A55" s="6" t="s">
        <v>22</v>
      </c>
      <c r="B55" s="6" t="s">
        <v>23</v>
      </c>
      <c r="C55" s="6" t="s">
        <v>24</v>
      </c>
      <c r="D55" s="6" t="s">
        <v>26</v>
      </c>
      <c r="E55" s="6" t="s">
        <v>25</v>
      </c>
      <c r="F55" s="6" t="s">
        <v>27</v>
      </c>
      <c r="G55" s="6" t="s">
        <v>28</v>
      </c>
      <c r="J55" s="6">
        <v>0.15</v>
      </c>
      <c r="K55" s="6">
        <f t="shared" si="13"/>
        <v>0.25337500000000002</v>
      </c>
    </row>
    <row r="56" spans="1:83" x14ac:dyDescent="0.3">
      <c r="A56" s="6">
        <v>1</v>
      </c>
      <c r="B56" s="6">
        <v>0</v>
      </c>
      <c r="C56" s="6">
        <v>1</v>
      </c>
      <c r="D56" s="6">
        <f>B56^3-5*B56+1</f>
        <v>1</v>
      </c>
      <c r="E56" s="6">
        <f>C56^3-5*C56+1</f>
        <v>-3</v>
      </c>
      <c r="F56" s="6">
        <f>C56-(E56*(B56-C56))/(D56-E56)</f>
        <v>0.25</v>
      </c>
      <c r="G56" s="6"/>
      <c r="J56" s="6">
        <v>0.18</v>
      </c>
      <c r="K56" s="6">
        <f t="shared" si="13"/>
        <v>0.10583200000000004</v>
      </c>
    </row>
    <row r="57" spans="1:83" x14ac:dyDescent="0.3">
      <c r="A57" s="6">
        <v>2</v>
      </c>
      <c r="B57" s="6">
        <f>C56</f>
        <v>1</v>
      </c>
      <c r="C57" s="6">
        <f>F56</f>
        <v>0.25</v>
      </c>
      <c r="D57" s="6">
        <f>B57^3-5*B57+1</f>
        <v>-3</v>
      </c>
      <c r="E57" s="6">
        <f>C57^3-5*C57+1</f>
        <v>-0.234375</v>
      </c>
      <c r="F57" s="6">
        <f>C57-(E57*(B57-C57))/(D57-E57)</f>
        <v>0.1864406779661017</v>
      </c>
      <c r="G57" s="6">
        <f>ABS((C57-C56)/C57)*100</f>
        <v>300</v>
      </c>
      <c r="J57" s="6">
        <v>0.2</v>
      </c>
      <c r="K57" s="6">
        <f t="shared" si="13"/>
        <v>8.0000000000000071E-3</v>
      </c>
    </row>
    <row r="58" spans="1:83" x14ac:dyDescent="0.3">
      <c r="A58" s="6">
        <v>3</v>
      </c>
      <c r="B58" s="6">
        <f t="shared" ref="B58:B61" si="14">C57</f>
        <v>0.25</v>
      </c>
      <c r="C58" s="6">
        <f t="shared" ref="C58:C61" si="15">F57</f>
        <v>0.1864406779661017</v>
      </c>
      <c r="D58" s="6">
        <f t="shared" ref="D58:D61" si="16">B58^3-5*B58+1</f>
        <v>-0.234375</v>
      </c>
      <c r="E58" s="6">
        <f t="shared" ref="E58:E61" si="17">C58^3-5*C58+1</f>
        <v>7.4277311701780646E-2</v>
      </c>
      <c r="F58" s="6">
        <f t="shared" ref="F58:F61" si="18">C58-(E58*(B58-C58))/(D58-E58)</f>
        <v>0.20173625617912722</v>
      </c>
      <c r="G58" s="6">
        <f t="shared" ref="G58:G61" si="19">ABS((C58-C57)/C58)*100</f>
        <v>34.090909090909086</v>
      </c>
      <c r="J58" s="6">
        <v>0.20100000000000001</v>
      </c>
      <c r="K58" s="6">
        <f t="shared" si="13"/>
        <v>3.1206009999998896E-3</v>
      </c>
    </row>
    <row r="59" spans="1:83" x14ac:dyDescent="0.3">
      <c r="A59" s="6">
        <v>4</v>
      </c>
      <c r="B59" s="6">
        <f t="shared" si="14"/>
        <v>0.1864406779661017</v>
      </c>
      <c r="C59" s="6">
        <f t="shared" si="15"/>
        <v>0.20173625617912722</v>
      </c>
      <c r="D59" s="6">
        <f t="shared" si="16"/>
        <v>7.4277311701780646E-2</v>
      </c>
      <c r="E59" s="6">
        <f t="shared" si="17"/>
        <v>-4.7111616873629636E-4</v>
      </c>
      <c r="F59" s="6">
        <f t="shared" si="18"/>
        <v>0.20163985289130409</v>
      </c>
      <c r="G59" s="6">
        <f t="shared" si="19"/>
        <v>7.5819679133155669</v>
      </c>
      <c r="J59" s="6">
        <v>0.20200000000000001</v>
      </c>
      <c r="K59" s="6">
        <f t="shared" si="13"/>
        <v>-1.757591999999919E-3</v>
      </c>
    </row>
    <row r="60" spans="1:83" x14ac:dyDescent="0.3">
      <c r="A60" s="18">
        <v>5</v>
      </c>
      <c r="B60" s="18">
        <f t="shared" si="14"/>
        <v>0.20173625617912722</v>
      </c>
      <c r="C60" s="18">
        <f t="shared" si="15"/>
        <v>0.20163985289130409</v>
      </c>
      <c r="D60" s="18">
        <f t="shared" si="16"/>
        <v>-4.7111616873629636E-4</v>
      </c>
      <c r="E60" s="18">
        <f t="shared" si="17"/>
        <v>-8.642293038985116E-7</v>
      </c>
      <c r="F60" s="18">
        <f t="shared" si="18"/>
        <v>0.20163967572128236</v>
      </c>
      <c r="G60" s="18">
        <f t="shared" si="19"/>
        <v>4.7809640029388673E-2</v>
      </c>
      <c r="J60" s="6">
        <v>0.25</v>
      </c>
      <c r="K60" s="6">
        <f t="shared" si="13"/>
        <v>-0.234375</v>
      </c>
    </row>
    <row r="61" spans="1:83" x14ac:dyDescent="0.3">
      <c r="A61" s="6">
        <v>6</v>
      </c>
      <c r="B61" s="6">
        <f t="shared" si="14"/>
        <v>0.20163985289130409</v>
      </c>
      <c r="C61" s="6">
        <f t="shared" si="15"/>
        <v>0.20163967572128236</v>
      </c>
      <c r="D61" s="6">
        <f t="shared" si="16"/>
        <v>-8.642293038985116E-7</v>
      </c>
      <c r="E61" s="6">
        <f t="shared" si="17"/>
        <v>1.0352718682327122E-11</v>
      </c>
      <c r="F61" s="6">
        <f t="shared" si="18"/>
        <v>0.20163967572340469</v>
      </c>
      <c r="G61" s="6">
        <f t="shared" si="19"/>
        <v>8.7864663094220426E-5</v>
      </c>
      <c r="J61" s="6">
        <v>0.5</v>
      </c>
      <c r="K61" s="6">
        <f t="shared" si="13"/>
        <v>-1.375</v>
      </c>
    </row>
    <row r="66" spans="1:93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</row>
    <row r="67" spans="1:93" x14ac:dyDescent="0.3">
      <c r="J67" s="6" t="s">
        <v>14</v>
      </c>
      <c r="K67" s="6" t="s">
        <v>15</v>
      </c>
    </row>
    <row r="68" spans="1:93" x14ac:dyDescent="0.3">
      <c r="J68" s="6">
        <v>1.5</v>
      </c>
      <c r="K68" s="6">
        <f>J68^3-2*J68-5</f>
        <v>-4.625</v>
      </c>
    </row>
    <row r="69" spans="1:93" x14ac:dyDescent="0.3">
      <c r="J69" s="6">
        <v>1.8</v>
      </c>
      <c r="K69" s="6">
        <f t="shared" ref="K69:K77" si="20">J69^3-2*J69-5</f>
        <v>-2.7679999999999993</v>
      </c>
    </row>
    <row r="70" spans="1:93" x14ac:dyDescent="0.3">
      <c r="J70" s="6">
        <v>2</v>
      </c>
      <c r="K70" s="6">
        <f t="shared" si="20"/>
        <v>-1</v>
      </c>
    </row>
    <row r="71" spans="1:93" x14ac:dyDescent="0.3">
      <c r="A71" s="6" t="s">
        <v>22</v>
      </c>
      <c r="B71" s="6" t="s">
        <v>23</v>
      </c>
      <c r="C71" s="6" t="s">
        <v>24</v>
      </c>
      <c r="D71" s="6" t="s">
        <v>26</v>
      </c>
      <c r="E71" s="6" t="s">
        <v>25</v>
      </c>
      <c r="F71" s="6" t="s">
        <v>27</v>
      </c>
      <c r="G71" s="6" t="s">
        <v>28</v>
      </c>
      <c r="J71" s="6">
        <v>2.0499999999999998</v>
      </c>
      <c r="K71" s="6">
        <f t="shared" si="20"/>
        <v>-0.48487500000000061</v>
      </c>
    </row>
    <row r="72" spans="1:93" x14ac:dyDescent="0.3">
      <c r="A72" s="6">
        <v>1</v>
      </c>
      <c r="B72" s="6">
        <v>2</v>
      </c>
      <c r="C72" s="6">
        <v>3</v>
      </c>
      <c r="D72" s="6">
        <f>B72^3-2*B72-5</f>
        <v>-1</v>
      </c>
      <c r="E72" s="6">
        <f>C72^3-2*C72-5</f>
        <v>16</v>
      </c>
      <c r="F72" s="6">
        <f>C72-(E72*(B72-C72))/(D72-E72)</f>
        <v>2.0588235294117645</v>
      </c>
      <c r="G72" s="6"/>
      <c r="J72" s="6">
        <v>2.09</v>
      </c>
      <c r="K72" s="6">
        <f t="shared" si="20"/>
        <v>-5.0671000000001243E-2</v>
      </c>
    </row>
    <row r="73" spans="1:93" x14ac:dyDescent="0.3">
      <c r="A73" s="6">
        <v>2</v>
      </c>
      <c r="B73" s="6">
        <f>C72</f>
        <v>3</v>
      </c>
      <c r="C73" s="6">
        <f>F72</f>
        <v>2.0588235294117645</v>
      </c>
      <c r="D73" s="6">
        <f>B73^3-2*B73-5</f>
        <v>16</v>
      </c>
      <c r="E73" s="6">
        <f>C73^3-2*C73-5</f>
        <v>-0.39079991858335283</v>
      </c>
      <c r="F73" s="6">
        <f>C73-(E73*(B73-C73))/(D73-E73)</f>
        <v>2.0812636598450229</v>
      </c>
      <c r="G73" s="6">
        <f>ABS((C73-C72)/C73)*100</f>
        <v>45.71428571428573</v>
      </c>
      <c r="J73" s="6">
        <v>2.0939999999999999</v>
      </c>
      <c r="K73" s="6">
        <f t="shared" si="20"/>
        <v>-6.1534160000027427E-3</v>
      </c>
    </row>
    <row r="74" spans="1:93" x14ac:dyDescent="0.3">
      <c r="A74" s="6">
        <v>3</v>
      </c>
      <c r="B74" s="6">
        <f t="shared" ref="B74:B76" si="21">C73</f>
        <v>2.0588235294117645</v>
      </c>
      <c r="C74" s="6">
        <f t="shared" ref="C74:C76" si="22">F73</f>
        <v>2.0812636598450229</v>
      </c>
      <c r="D74" s="6">
        <f t="shared" ref="D74:D76" si="23">B74^3-2*B74-5</f>
        <v>-0.39079991858335283</v>
      </c>
      <c r="E74" s="6">
        <f t="shared" ref="E74:E75" si="24">C74^3-2*C74-5</f>
        <v>-0.14720405955375426</v>
      </c>
      <c r="F74" s="6">
        <f t="shared" ref="F74:F76" si="25">C74-(E74*(B74-C74))/(D74-E74)</f>
        <v>2.0948241460940524</v>
      </c>
      <c r="G74" s="6">
        <f t="shared" ref="G74:G76" si="26">ABS((C74-C73)/C74)*100</f>
        <v>1.0781973887407128</v>
      </c>
      <c r="J74" s="6">
        <v>2.0950000000000002</v>
      </c>
      <c r="K74" s="6">
        <f t="shared" si="20"/>
        <v>5.0073750000025896E-3</v>
      </c>
    </row>
    <row r="75" spans="1:93" x14ac:dyDescent="0.3">
      <c r="A75" s="18">
        <v>4</v>
      </c>
      <c r="B75" s="18">
        <f t="shared" si="21"/>
        <v>2.0812636598450229</v>
      </c>
      <c r="C75" s="18">
        <f t="shared" si="22"/>
        <v>2.0948241460940524</v>
      </c>
      <c r="D75" s="18">
        <f t="shared" si="23"/>
        <v>-0.14720405955375426</v>
      </c>
      <c r="E75" s="18">
        <f t="shared" si="24"/>
        <v>3.0437955988897869E-3</v>
      </c>
      <c r="F75" s="18">
        <f t="shared" si="25"/>
        <v>2.0945494310352473</v>
      </c>
      <c r="G75" s="18">
        <f t="shared" si="26"/>
        <v>0.64733291690923012</v>
      </c>
      <c r="J75" s="6">
        <v>2.1</v>
      </c>
      <c r="K75" s="6">
        <f t="shared" si="20"/>
        <v>6.1000000000000831E-2</v>
      </c>
    </row>
    <row r="76" spans="1:93" x14ac:dyDescent="0.3">
      <c r="A76" s="6">
        <v>5</v>
      </c>
      <c r="B76" s="6">
        <f t="shared" si="21"/>
        <v>2.0948241460940524</v>
      </c>
      <c r="C76" s="6">
        <f t="shared" si="22"/>
        <v>2.0945494310352473</v>
      </c>
      <c r="D76" s="6">
        <f t="shared" si="23"/>
        <v>3.0437955988897869E-3</v>
      </c>
      <c r="E76" s="6">
        <f>C76^3-2*C76-5</f>
        <v>-2.2886580653747046E-5</v>
      </c>
      <c r="F76" s="6">
        <f t="shared" si="25"/>
        <v>2.0945514812275992</v>
      </c>
      <c r="G76" s="6">
        <f t="shared" si="26"/>
        <v>1.3115711414334291E-2</v>
      </c>
      <c r="J76" s="6">
        <v>2.2000000000000002</v>
      </c>
      <c r="K76" s="6">
        <f t="shared" si="20"/>
        <v>1.2480000000000029</v>
      </c>
    </row>
    <row r="77" spans="1:93" x14ac:dyDescent="0.3">
      <c r="J77" s="6">
        <v>2.5</v>
      </c>
      <c r="K77" s="6">
        <f t="shared" si="20"/>
        <v>5.625</v>
      </c>
    </row>
    <row r="84" spans="1:101" x14ac:dyDescent="0.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</row>
    <row r="90" spans="1:101" x14ac:dyDescent="0.3">
      <c r="A90" s="6" t="s">
        <v>22</v>
      </c>
      <c r="B90" s="6" t="s">
        <v>23</v>
      </c>
      <c r="C90" s="6" t="s">
        <v>24</v>
      </c>
      <c r="D90" s="6" t="s">
        <v>26</v>
      </c>
      <c r="E90" s="6" t="s">
        <v>25</v>
      </c>
      <c r="F90" s="6" t="s">
        <v>27</v>
      </c>
      <c r="G90" s="6" t="s">
        <v>28</v>
      </c>
      <c r="J90" s="6" t="s">
        <v>14</v>
      </c>
      <c r="K90" s="6" t="s">
        <v>15</v>
      </c>
    </row>
    <row r="91" spans="1:101" x14ac:dyDescent="0.3">
      <c r="A91" s="6">
        <v>1</v>
      </c>
      <c r="B91" s="6">
        <v>1</v>
      </c>
      <c r="C91" s="6">
        <v>2</v>
      </c>
      <c r="D91" s="6">
        <f>((B91)^2)-2</f>
        <v>-1</v>
      </c>
      <c r="E91" s="6">
        <f>((C91)^2)-2</f>
        <v>2</v>
      </c>
      <c r="F91" s="6">
        <f>C91-(E91*(B91-C91))/(D91-E91)</f>
        <v>1.3333333333333335</v>
      </c>
      <c r="G91" s="6"/>
      <c r="J91" s="6">
        <v>1.5</v>
      </c>
      <c r="K91" s="6">
        <f>J91^2-2</f>
        <v>0.25</v>
      </c>
    </row>
    <row r="92" spans="1:101" x14ac:dyDescent="0.3">
      <c r="A92" s="6">
        <v>2</v>
      </c>
      <c r="B92" s="6">
        <f>C91</f>
        <v>2</v>
      </c>
      <c r="C92" s="6">
        <f>F91</f>
        <v>1.3333333333333335</v>
      </c>
      <c r="D92" s="6">
        <f t="shared" ref="D92:D95" si="27">((B92)^2)-2</f>
        <v>2</v>
      </c>
      <c r="E92" s="6">
        <f t="shared" ref="E92:E95" si="28">((C92)^2)-2</f>
        <v>-0.22222222222222188</v>
      </c>
      <c r="F92" s="6">
        <f>C92-(E92*(B92-C92))/(D92-E92)</f>
        <v>1.4000000000000001</v>
      </c>
      <c r="G92" s="6">
        <f>ABS((C92-C91)/C92)*100</f>
        <v>49.999999999999986</v>
      </c>
      <c r="J92" s="6">
        <v>1.8</v>
      </c>
      <c r="K92" s="6">
        <f t="shared" ref="K92:K100" si="29">J92^2-2</f>
        <v>1.2400000000000002</v>
      </c>
    </row>
    <row r="93" spans="1:101" x14ac:dyDescent="0.3">
      <c r="A93" s="6">
        <v>3</v>
      </c>
      <c r="B93" s="6">
        <f t="shared" ref="B93:B95" si="30">C92</f>
        <v>1.3333333333333335</v>
      </c>
      <c r="C93" s="6">
        <f t="shared" ref="C93:C95" si="31">F92</f>
        <v>1.4000000000000001</v>
      </c>
      <c r="D93" s="6">
        <f t="shared" si="27"/>
        <v>-0.22222222222222188</v>
      </c>
      <c r="E93" s="6">
        <f t="shared" si="28"/>
        <v>-3.9999999999999591E-2</v>
      </c>
      <c r="F93" s="6">
        <f t="shared" ref="F93:F95" si="32">C93-(E93*(B93-C93))/(D93-E93)</f>
        <v>1.4146341463414633</v>
      </c>
      <c r="G93" s="6">
        <f t="shared" ref="G93:G95" si="33">ABS((C93-C92)/C93)*100</f>
        <v>4.7619047619047601</v>
      </c>
      <c r="J93" s="6">
        <v>2</v>
      </c>
      <c r="K93" s="6">
        <f t="shared" si="29"/>
        <v>2</v>
      </c>
    </row>
    <row r="94" spans="1:101" x14ac:dyDescent="0.3">
      <c r="A94" s="25">
        <v>4</v>
      </c>
      <c r="B94" s="25">
        <f t="shared" si="30"/>
        <v>1.4000000000000001</v>
      </c>
      <c r="C94" s="25">
        <f t="shared" si="31"/>
        <v>1.4146341463414633</v>
      </c>
      <c r="D94" s="25">
        <f t="shared" si="27"/>
        <v>-3.9999999999999591E-2</v>
      </c>
      <c r="E94" s="25">
        <f t="shared" si="28"/>
        <v>1.1897679952408424E-3</v>
      </c>
      <c r="F94" s="25">
        <f t="shared" si="32"/>
        <v>1.4142114384748701</v>
      </c>
      <c r="G94" s="25">
        <f t="shared" si="33"/>
        <v>1.0344827586206748</v>
      </c>
      <c r="J94" s="6">
        <v>2.0499999999999998</v>
      </c>
      <c r="K94" s="6">
        <f t="shared" si="29"/>
        <v>2.2024999999999997</v>
      </c>
    </row>
    <row r="95" spans="1:101" x14ac:dyDescent="0.3">
      <c r="A95" s="18">
        <v>5</v>
      </c>
      <c r="B95" s="18">
        <f t="shared" si="30"/>
        <v>1.4146341463414633</v>
      </c>
      <c r="C95" s="18">
        <f t="shared" si="31"/>
        <v>1.4142114384748701</v>
      </c>
      <c r="D95" s="18">
        <f t="shared" si="27"/>
        <v>1.1897679952408424E-3</v>
      </c>
      <c r="E95" s="18">
        <f t="shared" si="28"/>
        <v>-6.0072868388605372E-6</v>
      </c>
      <c r="F95" s="18">
        <f t="shared" si="32"/>
        <v>1.4142135620573204</v>
      </c>
      <c r="G95" s="18">
        <f t="shared" si="33"/>
        <v>2.9890004782391323E-2</v>
      </c>
      <c r="J95" s="6">
        <v>2.09</v>
      </c>
      <c r="K95" s="6">
        <f t="shared" si="29"/>
        <v>2.3680999999999992</v>
      </c>
    </row>
    <row r="96" spans="1:101" x14ac:dyDescent="0.3">
      <c r="J96" s="6">
        <v>2.0939999999999999</v>
      </c>
      <c r="K96" s="6">
        <f t="shared" si="29"/>
        <v>2.3848359999999991</v>
      </c>
    </row>
    <row r="97" spans="10:11" x14ac:dyDescent="0.3">
      <c r="J97" s="6">
        <v>2.0950000000000002</v>
      </c>
      <c r="K97" s="6">
        <f t="shared" si="29"/>
        <v>2.3890250000000011</v>
      </c>
    </row>
    <row r="98" spans="10:11" x14ac:dyDescent="0.3">
      <c r="J98" s="6">
        <v>2.1</v>
      </c>
      <c r="K98" s="6">
        <f t="shared" si="29"/>
        <v>2.41</v>
      </c>
    </row>
    <row r="99" spans="10:11" x14ac:dyDescent="0.3">
      <c r="J99" s="6">
        <v>2.2000000000000002</v>
      </c>
      <c r="K99" s="6">
        <f t="shared" si="29"/>
        <v>2.8400000000000007</v>
      </c>
    </row>
    <row r="100" spans="10:11" x14ac:dyDescent="0.3">
      <c r="J100" s="6">
        <v>2.5</v>
      </c>
      <c r="K100" s="6">
        <f t="shared" si="29"/>
        <v>4.25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rgb="FF002060"/>
  </sheetPr>
  <dimension ref="A1:BO156"/>
  <sheetViews>
    <sheetView zoomScale="35" zoomScaleNormal="55" workbookViewId="0">
      <selection activeCell="Q101" sqref="Q101"/>
    </sheetView>
  </sheetViews>
  <sheetFormatPr baseColWidth="10" defaultRowHeight="14.4" x14ac:dyDescent="0.3"/>
  <cols>
    <col min="1" max="4" width="11.77734375" bestFit="1" customWidth="1"/>
    <col min="5" max="7" width="20.21875" bestFit="1" customWidth="1"/>
    <col min="8" max="8" width="19.109375" bestFit="1" customWidth="1"/>
    <col min="9" max="9" width="11.77734375" bestFit="1" customWidth="1"/>
    <col min="12" max="12" width="11.77734375" bestFit="1" customWidth="1"/>
    <col min="13" max="13" width="19.6640625" bestFit="1" customWidth="1"/>
  </cols>
  <sheetData>
    <row r="1" spans="1:65" ht="23.4" x14ac:dyDescent="0.45">
      <c r="B1" s="1" t="s">
        <v>34</v>
      </c>
    </row>
    <row r="3" spans="1:65" x14ac:dyDescent="0.3">
      <c r="D3" s="2" t="s">
        <v>1</v>
      </c>
      <c r="E3" s="2"/>
      <c r="F3" s="2" t="s">
        <v>2</v>
      </c>
    </row>
    <row r="4" spans="1:65" x14ac:dyDescent="0.3">
      <c r="D4" s="3">
        <v>1</v>
      </c>
      <c r="E4" s="3"/>
      <c r="F4" s="3" t="s">
        <v>35</v>
      </c>
    </row>
    <row r="5" spans="1:65" x14ac:dyDescent="0.3">
      <c r="D5" s="3">
        <v>2</v>
      </c>
      <c r="E5" s="3"/>
      <c r="F5" s="3" t="s">
        <v>37</v>
      </c>
    </row>
    <row r="6" spans="1:65" x14ac:dyDescent="0.3">
      <c r="D6" s="3">
        <v>3</v>
      </c>
      <c r="E6" s="3"/>
      <c r="F6" s="3" t="s">
        <v>36</v>
      </c>
    </row>
    <row r="7" spans="1:65" x14ac:dyDescent="0.3">
      <c r="D7" s="3">
        <v>4</v>
      </c>
      <c r="E7" s="3"/>
      <c r="F7" s="3" t="s">
        <v>56</v>
      </c>
    </row>
    <row r="8" spans="1:65" x14ac:dyDescent="0.3">
      <c r="D8" s="3">
        <v>5</v>
      </c>
      <c r="E8" s="3"/>
      <c r="F8" s="3" t="s">
        <v>38</v>
      </c>
    </row>
    <row r="9" spans="1:65" x14ac:dyDescent="0.3">
      <c r="D9" s="3">
        <v>6</v>
      </c>
      <c r="E9" s="3"/>
      <c r="F9" s="3" t="s">
        <v>52</v>
      </c>
    </row>
    <row r="10" spans="1:65" x14ac:dyDescent="0.3">
      <c r="D10" s="3">
        <v>7</v>
      </c>
      <c r="E10" s="3"/>
      <c r="F10" s="3" t="s">
        <v>39</v>
      </c>
    </row>
    <row r="11" spans="1:65" x14ac:dyDescent="0.3">
      <c r="D11" s="3">
        <v>8</v>
      </c>
      <c r="E11" s="3"/>
      <c r="F11" s="3" t="s">
        <v>40</v>
      </c>
    </row>
    <row r="12" spans="1:65" x14ac:dyDescent="0.3">
      <c r="D12" s="3">
        <v>9</v>
      </c>
      <c r="E12" s="3"/>
      <c r="F12" s="3" t="s">
        <v>51</v>
      </c>
      <c r="G12" s="3"/>
      <c r="H12" s="3"/>
      <c r="I12" s="3"/>
    </row>
    <row r="15" spans="1:6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8" spans="1:13" x14ac:dyDescent="0.3">
      <c r="A18" t="s">
        <v>41</v>
      </c>
    </row>
    <row r="21" spans="1:13" x14ac:dyDescent="0.3">
      <c r="A21" s="5" t="s">
        <v>8</v>
      </c>
      <c r="B21" s="5" t="s">
        <v>42</v>
      </c>
      <c r="C21" s="5" t="s">
        <v>43</v>
      </c>
      <c r="D21" s="5" t="s">
        <v>44</v>
      </c>
      <c r="E21" s="5" t="s">
        <v>45</v>
      </c>
      <c r="F21" s="5" t="s">
        <v>46</v>
      </c>
      <c r="G21" s="5" t="s">
        <v>47</v>
      </c>
      <c r="H21" s="5" t="s">
        <v>48</v>
      </c>
      <c r="I21" s="5" t="s">
        <v>49</v>
      </c>
      <c r="L21" s="9" t="s">
        <v>50</v>
      </c>
      <c r="M21" s="9" t="s">
        <v>46</v>
      </c>
    </row>
    <row r="22" spans="1:13" x14ac:dyDescent="0.3">
      <c r="A22" s="6">
        <v>1</v>
      </c>
      <c r="B22" s="7">
        <v>0</v>
      </c>
      <c r="C22" s="7">
        <v>1.4</v>
      </c>
      <c r="D22" s="7">
        <f>( B22+C22)/2</f>
        <v>0.7</v>
      </c>
      <c r="E22" s="7">
        <f>((B22)^10)-1</f>
        <v>-1</v>
      </c>
      <c r="F22" s="7">
        <f>((D22)^10)-1</f>
        <v>-0.97175247510000007</v>
      </c>
      <c r="G22" s="7">
        <f>E22*F22</f>
        <v>0.97175247510000007</v>
      </c>
      <c r="H22" s="7"/>
      <c r="I22" s="7">
        <f>ABS(1-D22)*100</f>
        <v>30.000000000000004</v>
      </c>
      <c r="L22" s="10">
        <v>-2</v>
      </c>
      <c r="M22" s="10">
        <f>(L22^10)-1</f>
        <v>1023</v>
      </c>
    </row>
    <row r="23" spans="1:13" x14ac:dyDescent="0.3">
      <c r="A23" s="6">
        <v>2</v>
      </c>
      <c r="B23" s="7">
        <f>IF(G22&lt;0,B22,D22)</f>
        <v>0.7</v>
      </c>
      <c r="C23" s="7">
        <f>IF(G22&gt;0,C22,D22)</f>
        <v>1.4</v>
      </c>
      <c r="D23" s="7">
        <f>( B23+C23)/2</f>
        <v>1.0499999999999998</v>
      </c>
      <c r="E23" s="7">
        <f>((B23)^10)-1</f>
        <v>-0.97175247510000007</v>
      </c>
      <c r="F23" s="7">
        <f>((D23)^10)-1</f>
        <v>0.62889462677743846</v>
      </c>
      <c r="G23" s="7">
        <f>E23*F23</f>
        <v>-0.61112991014806661</v>
      </c>
      <c r="H23" s="7">
        <f>ABS((D23-D22)/D23)*100</f>
        <v>33.333333333333329</v>
      </c>
      <c r="I23" s="7">
        <f>ABS(1-D23)*100</f>
        <v>4.9999999999999822</v>
      </c>
      <c r="L23" s="10">
        <v>-1</v>
      </c>
      <c r="M23" s="10">
        <f t="shared" ref="M23:M34" si="0">(L23^10)-1</f>
        <v>0</v>
      </c>
    </row>
    <row r="24" spans="1:13" x14ac:dyDescent="0.3">
      <c r="A24" s="6">
        <v>3</v>
      </c>
      <c r="B24" s="7">
        <f t="shared" ref="B24:B25" si="1">IF(G23&lt;0,B23,D23)</f>
        <v>0.7</v>
      </c>
      <c r="C24" s="7">
        <f t="shared" ref="C24:C25" si="2">IF(G23&gt;0,C23,D23)</f>
        <v>1.0499999999999998</v>
      </c>
      <c r="D24" s="7">
        <f t="shared" ref="D24:D25" si="3">( B24+C24)/2</f>
        <v>0.87499999999999989</v>
      </c>
      <c r="E24" s="7">
        <f t="shared" ref="E24:E25" si="4">((B24)^10)-1</f>
        <v>-0.97175247510000007</v>
      </c>
      <c r="F24" s="7">
        <f t="shared" ref="F24:F25" si="5">((D24)^10)-1</f>
        <v>-0.73692442383617207</v>
      </c>
      <c r="G24" s="7">
        <f t="shared" ref="G24:G25" si="6">E24*F24</f>
        <v>0.71610813282444175</v>
      </c>
      <c r="H24" s="7">
        <f t="shared" ref="H24:H25" si="7">ABS((D24-D23)/D24)*100</f>
        <v>19.999999999999996</v>
      </c>
      <c r="I24" s="7">
        <f t="shared" ref="I24:I25" si="8">ABS(1-D24)*100</f>
        <v>12.500000000000011</v>
      </c>
      <c r="L24" s="10">
        <v>0</v>
      </c>
      <c r="M24" s="10">
        <f t="shared" si="0"/>
        <v>-1</v>
      </c>
    </row>
    <row r="25" spans="1:13" x14ac:dyDescent="0.3">
      <c r="A25" s="6">
        <v>4</v>
      </c>
      <c r="B25" s="7">
        <f t="shared" si="1"/>
        <v>0.87499999999999989</v>
      </c>
      <c r="C25" s="7">
        <f t="shared" si="2"/>
        <v>1.0499999999999998</v>
      </c>
      <c r="D25" s="7">
        <f t="shared" si="3"/>
        <v>0.96249999999999991</v>
      </c>
      <c r="E25" s="7">
        <f t="shared" si="4"/>
        <v>-0.73692442383617207</v>
      </c>
      <c r="F25" s="7">
        <f t="shared" si="5"/>
        <v>-0.31764970788860736</v>
      </c>
      <c r="G25" s="7">
        <f t="shared" si="6"/>
        <v>0.23408382796754035</v>
      </c>
      <c r="H25" s="7">
        <f t="shared" si="7"/>
        <v>9.0909090909090935</v>
      </c>
      <c r="I25" s="7">
        <f t="shared" si="8"/>
        <v>3.7500000000000089</v>
      </c>
      <c r="L25" s="10">
        <v>1</v>
      </c>
      <c r="M25" s="10">
        <f t="shared" si="0"/>
        <v>0</v>
      </c>
    </row>
    <row r="26" spans="1:13" x14ac:dyDescent="0.3">
      <c r="A26" s="6">
        <v>5</v>
      </c>
      <c r="B26" s="7">
        <f t="shared" ref="B26:B35" si="9">IF(G25&lt;0,B25,D25)</f>
        <v>0.96249999999999991</v>
      </c>
      <c r="C26" s="7">
        <f t="shared" ref="C26:C35" si="10">IF(G25&gt;0,C25,D25)</f>
        <v>1.0499999999999998</v>
      </c>
      <c r="D26" s="7">
        <f t="shared" ref="D26:D35" si="11">( B26+C26)/2</f>
        <v>1.0062499999999999</v>
      </c>
      <c r="E26" s="7">
        <f t="shared" ref="E26:E35" si="12">((B26)^10)-1</f>
        <v>-0.31764970788860736</v>
      </c>
      <c r="F26" s="7">
        <f t="shared" ref="F26:F35" si="13">((D26)^10)-1</f>
        <v>6.4287432225389685E-2</v>
      </c>
      <c r="G26" s="7">
        <f t="shared" ref="G26:G35" si="14">E26*F26</f>
        <v>-2.0420884067303677E-2</v>
      </c>
      <c r="H26" s="7">
        <f t="shared" ref="H26:H35" si="15">ABS((D26-D25)/D26)*100</f>
        <v>4.347826086956518</v>
      </c>
      <c r="I26" s="7">
        <f t="shared" ref="I26:I35" si="16">ABS(1-D26)*100</f>
        <v>0.62499999999998668</v>
      </c>
      <c r="L26" s="10">
        <v>2</v>
      </c>
      <c r="M26" s="10">
        <f t="shared" si="0"/>
        <v>1023</v>
      </c>
    </row>
    <row r="27" spans="1:13" x14ac:dyDescent="0.3">
      <c r="A27" s="6">
        <v>6</v>
      </c>
      <c r="B27" s="7">
        <f t="shared" si="9"/>
        <v>0.96249999999999991</v>
      </c>
      <c r="C27" s="7">
        <f t="shared" si="10"/>
        <v>1.0062499999999999</v>
      </c>
      <c r="D27" s="7">
        <f t="shared" si="11"/>
        <v>0.98437499999999989</v>
      </c>
      <c r="E27" s="7">
        <f t="shared" si="12"/>
        <v>-0.31764970788860736</v>
      </c>
      <c r="F27" s="7">
        <f t="shared" si="13"/>
        <v>-0.14570915023598541</v>
      </c>
      <c r="G27" s="7">
        <f t="shared" si="14"/>
        <v>4.6284469009157968E-2</v>
      </c>
      <c r="H27" s="7">
        <f t="shared" si="15"/>
        <v>2.2222222222222201</v>
      </c>
      <c r="I27" s="7">
        <f t="shared" si="16"/>
        <v>1.5625000000000111</v>
      </c>
      <c r="L27" s="10">
        <v>3</v>
      </c>
      <c r="M27" s="10">
        <f t="shared" si="0"/>
        <v>59048</v>
      </c>
    </row>
    <row r="28" spans="1:13" x14ac:dyDescent="0.3">
      <c r="A28" s="6">
        <v>7</v>
      </c>
      <c r="B28" s="7">
        <f t="shared" si="9"/>
        <v>0.98437499999999989</v>
      </c>
      <c r="C28" s="7">
        <f t="shared" si="10"/>
        <v>1.0062499999999999</v>
      </c>
      <c r="D28" s="7">
        <f t="shared" si="11"/>
        <v>0.99531249999999982</v>
      </c>
      <c r="E28" s="7">
        <f t="shared" si="12"/>
        <v>-0.14570915023598541</v>
      </c>
      <c r="F28" s="7">
        <f t="shared" si="13"/>
        <v>-4.5898489268474396E-2</v>
      </c>
      <c r="G28" s="7">
        <f t="shared" si="14"/>
        <v>6.6878298684248999E-3</v>
      </c>
      <c r="H28" s="7">
        <f t="shared" si="15"/>
        <v>1.0989010989010923</v>
      </c>
      <c r="I28" s="7">
        <f t="shared" si="16"/>
        <v>0.46875000000001776</v>
      </c>
      <c r="L28" s="10">
        <v>4</v>
      </c>
      <c r="M28" s="10">
        <f t="shared" si="0"/>
        <v>1048575</v>
      </c>
    </row>
    <row r="29" spans="1:13" x14ac:dyDescent="0.3">
      <c r="A29" s="6">
        <v>8</v>
      </c>
      <c r="B29" s="7">
        <f t="shared" si="9"/>
        <v>0.99531249999999982</v>
      </c>
      <c r="C29" s="7">
        <f t="shared" si="10"/>
        <v>1.0062499999999999</v>
      </c>
      <c r="D29" s="7">
        <f t="shared" si="11"/>
        <v>1.0007812499999997</v>
      </c>
      <c r="E29" s="7">
        <f t="shared" si="12"/>
        <v>-4.5898489268474396E-2</v>
      </c>
      <c r="F29" s="7">
        <f t="shared" si="13"/>
        <v>7.8400231190729475E-3</v>
      </c>
      <c r="G29" s="7">
        <f t="shared" si="14"/>
        <v>-3.5984521699536083E-4</v>
      </c>
      <c r="H29" s="7">
        <f t="shared" si="15"/>
        <v>0.54644808743168527</v>
      </c>
      <c r="I29" s="7">
        <f t="shared" si="16"/>
        <v>7.8124999999973355E-2</v>
      </c>
      <c r="L29" s="10">
        <v>5</v>
      </c>
      <c r="M29" s="10">
        <f t="shared" si="0"/>
        <v>9765624</v>
      </c>
    </row>
    <row r="30" spans="1:13" x14ac:dyDescent="0.3">
      <c r="A30" s="6">
        <v>9</v>
      </c>
      <c r="B30" s="7">
        <f t="shared" si="9"/>
        <v>0.99531249999999982</v>
      </c>
      <c r="C30" s="7">
        <f t="shared" si="10"/>
        <v>1.0007812499999997</v>
      </c>
      <c r="D30" s="7">
        <f t="shared" si="11"/>
        <v>0.99804687499999978</v>
      </c>
      <c r="E30" s="7">
        <f t="shared" si="12"/>
        <v>-4.5898489268474396E-2</v>
      </c>
      <c r="F30" s="7">
        <f t="shared" si="13"/>
        <v>-1.9360479643969142E-2</v>
      </c>
      <c r="G30" s="7">
        <f t="shared" si="14"/>
        <v>8.8861676717123469E-4</v>
      </c>
      <c r="H30" s="7">
        <f t="shared" si="15"/>
        <v>0.27397260273972163</v>
      </c>
      <c r="I30" s="7">
        <f t="shared" si="16"/>
        <v>0.1953125000000222</v>
      </c>
      <c r="L30" s="10">
        <v>6</v>
      </c>
      <c r="M30" s="10">
        <f t="shared" si="0"/>
        <v>60466175</v>
      </c>
    </row>
    <row r="31" spans="1:13" x14ac:dyDescent="0.3">
      <c r="A31" s="6">
        <v>10</v>
      </c>
      <c r="B31" s="7">
        <f t="shared" si="9"/>
        <v>0.99804687499999978</v>
      </c>
      <c r="C31" s="7">
        <f t="shared" si="10"/>
        <v>1.0007812499999997</v>
      </c>
      <c r="D31" s="7">
        <f t="shared" si="11"/>
        <v>0.99941406249999976</v>
      </c>
      <c r="E31" s="7">
        <f t="shared" si="12"/>
        <v>-1.9360479643969142E-2</v>
      </c>
      <c r="F31" s="7">
        <f t="shared" si="13"/>
        <v>-5.8439495912223638E-3</v>
      </c>
      <c r="G31" s="7">
        <f t="shared" si="14"/>
        <v>1.1314166710124236E-4</v>
      </c>
      <c r="H31" s="7">
        <f t="shared" si="15"/>
        <v>0.13679890560875294</v>
      </c>
      <c r="I31" s="7">
        <f t="shared" si="16"/>
        <v>5.8593750000024425E-2</v>
      </c>
      <c r="L31" s="10">
        <v>7</v>
      </c>
      <c r="M31" s="10">
        <f t="shared" si="0"/>
        <v>282475248</v>
      </c>
    </row>
    <row r="32" spans="1:13" x14ac:dyDescent="0.3">
      <c r="A32" s="6">
        <v>11</v>
      </c>
      <c r="B32" s="7">
        <f t="shared" si="9"/>
        <v>0.99941406249999976</v>
      </c>
      <c r="C32" s="7">
        <f t="shared" si="10"/>
        <v>1.0007812499999997</v>
      </c>
      <c r="D32" s="7">
        <f t="shared" si="11"/>
        <v>1.0000976562499997</v>
      </c>
      <c r="E32" s="7">
        <f t="shared" si="12"/>
        <v>-5.8439495912223638E-3</v>
      </c>
      <c r="F32" s="7">
        <f t="shared" si="13"/>
        <v>9.7699176521692799E-4</v>
      </c>
      <c r="G32" s="7">
        <f t="shared" si="14"/>
        <v>-5.7094906269670819E-6</v>
      </c>
      <c r="H32" s="7">
        <f t="shared" si="15"/>
        <v>6.8352699931640656E-2</v>
      </c>
      <c r="I32" s="7">
        <f t="shared" si="16"/>
        <v>9.7656249999689138E-3</v>
      </c>
      <c r="L32" s="10">
        <v>8</v>
      </c>
      <c r="M32" s="10">
        <f t="shared" si="0"/>
        <v>1073741823</v>
      </c>
    </row>
    <row r="33" spans="1:67" x14ac:dyDescent="0.3">
      <c r="A33" s="6">
        <v>12</v>
      </c>
      <c r="B33" s="7">
        <f t="shared" si="9"/>
        <v>0.99941406249999976</v>
      </c>
      <c r="C33" s="7">
        <f t="shared" si="10"/>
        <v>1.0000976562499997</v>
      </c>
      <c r="D33" s="7">
        <f t="shared" si="11"/>
        <v>0.99975585937499978</v>
      </c>
      <c r="E33" s="7">
        <f t="shared" si="12"/>
        <v>-5.8439495912223638E-3</v>
      </c>
      <c r="F33" s="7">
        <f t="shared" si="13"/>
        <v>-2.4387257864713074E-3</v>
      </c>
      <c r="G33" s="7">
        <f t="shared" si="14"/>
        <v>1.4251790562952434E-5</v>
      </c>
      <c r="H33" s="7">
        <f t="shared" si="15"/>
        <v>3.4188034188025317E-2</v>
      </c>
      <c r="I33" s="7">
        <f t="shared" si="16"/>
        <v>2.4414062500022204E-2</v>
      </c>
      <c r="L33" s="10">
        <v>9</v>
      </c>
      <c r="M33" s="10">
        <f t="shared" si="0"/>
        <v>3486784400</v>
      </c>
    </row>
    <row r="34" spans="1:67" x14ac:dyDescent="0.3">
      <c r="A34" s="6">
        <v>13</v>
      </c>
      <c r="B34" s="7">
        <f t="shared" si="9"/>
        <v>0.99975585937499978</v>
      </c>
      <c r="C34" s="7">
        <f t="shared" si="10"/>
        <v>1.0000976562499997</v>
      </c>
      <c r="D34" s="7">
        <f t="shared" si="11"/>
        <v>0.99992675781249973</v>
      </c>
      <c r="E34" s="7">
        <f t="shared" si="12"/>
        <v>-2.4387257864713074E-3</v>
      </c>
      <c r="F34" s="7">
        <f t="shared" si="13"/>
        <v>-7.3218052333345884E-4</v>
      </c>
      <c r="G34" s="7">
        <f t="shared" si="14"/>
        <v>1.785587522605363E-6</v>
      </c>
      <c r="H34" s="7">
        <f t="shared" si="15"/>
        <v>1.7091095539219628E-2</v>
      </c>
      <c r="I34" s="7">
        <f t="shared" si="16"/>
        <v>7.3242187500266454E-3</v>
      </c>
      <c r="L34" s="10">
        <v>10</v>
      </c>
      <c r="M34" s="10">
        <f t="shared" si="0"/>
        <v>9999999999</v>
      </c>
    </row>
    <row r="35" spans="1:67" x14ac:dyDescent="0.3">
      <c r="A35" s="18">
        <v>14</v>
      </c>
      <c r="B35" s="12">
        <f t="shared" si="9"/>
        <v>0.99992675781249973</v>
      </c>
      <c r="C35" s="12">
        <f t="shared" si="10"/>
        <v>1.0000976562499997</v>
      </c>
      <c r="D35" s="12">
        <f t="shared" si="11"/>
        <v>1.0000122070312498</v>
      </c>
      <c r="E35" s="12">
        <f t="shared" si="12"/>
        <v>-7.3218052333345884E-4</v>
      </c>
      <c r="F35" s="12">
        <f t="shared" si="13"/>
        <v>1.2207701823929717E-4</v>
      </c>
      <c r="G35" s="12">
        <f t="shared" si="14"/>
        <v>-8.938241510143681E-8</v>
      </c>
      <c r="H35" s="12">
        <f t="shared" si="15"/>
        <v>8.5448175681538032E-3</v>
      </c>
      <c r="I35" s="12">
        <f t="shared" si="16"/>
        <v>1.2207031249822364E-3</v>
      </c>
      <c r="L35" s="10">
        <v>11</v>
      </c>
      <c r="M35" s="10">
        <f>(L35^10)-1</f>
        <v>25937424600</v>
      </c>
    </row>
    <row r="40" spans="1:67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3" spans="1:67" x14ac:dyDescent="0.3">
      <c r="A43" s="29" t="s">
        <v>8</v>
      </c>
      <c r="B43" s="29" t="s">
        <v>42</v>
      </c>
      <c r="C43" s="29" t="s">
        <v>43</v>
      </c>
      <c r="D43" s="29" t="s">
        <v>44</v>
      </c>
      <c r="E43" s="29" t="s">
        <v>45</v>
      </c>
      <c r="F43" s="29" t="s">
        <v>46</v>
      </c>
      <c r="G43" s="29" t="s">
        <v>47</v>
      </c>
      <c r="H43" s="29" t="s">
        <v>48</v>
      </c>
      <c r="I43" s="29" t="s">
        <v>49</v>
      </c>
    </row>
    <row r="44" spans="1:67" x14ac:dyDescent="0.3">
      <c r="A44" s="6">
        <v>1</v>
      </c>
      <c r="B44" s="7">
        <v>1.5</v>
      </c>
      <c r="C44" s="7">
        <v>3.5</v>
      </c>
      <c r="D44" s="7">
        <f>(B44+C44)/2</f>
        <v>2.5</v>
      </c>
      <c r="E44" s="7">
        <f>((B44)^3)-(B44)-8</f>
        <v>-6.125</v>
      </c>
      <c r="F44" s="7">
        <f>((D44)^3)-(D44)-8</f>
        <v>5.125</v>
      </c>
      <c r="G44" s="7">
        <f>E44*F44</f>
        <v>-31.390625</v>
      </c>
      <c r="H44" s="7"/>
      <c r="I44" s="7">
        <f>ABS(1-D44)*100</f>
        <v>150</v>
      </c>
      <c r="L44" s="13" t="s">
        <v>14</v>
      </c>
      <c r="M44" s="13" t="s">
        <v>15</v>
      </c>
    </row>
    <row r="45" spans="1:67" x14ac:dyDescent="0.3">
      <c r="A45">
        <v>2</v>
      </c>
      <c r="B45" s="7">
        <f>IF(G44&lt;0,B44,D44)</f>
        <v>1.5</v>
      </c>
      <c r="C45" s="7">
        <f>IF(G44&gt;0,C44,D44)</f>
        <v>2.5</v>
      </c>
      <c r="D45" s="7">
        <f>(B45+C45)/2</f>
        <v>2</v>
      </c>
      <c r="E45" s="7">
        <f>((B45)^3)-(B45)-8</f>
        <v>-6.125</v>
      </c>
      <c r="F45" s="7">
        <f>((D45)^3)-(D45)-8</f>
        <v>-2</v>
      </c>
      <c r="G45" s="7">
        <f>E45*F45</f>
        <v>12.25</v>
      </c>
      <c r="H45" s="7">
        <f>ABS(D45-D44)/D45*100</f>
        <v>25</v>
      </c>
      <c r="I45" s="7">
        <f t="shared" ref="I45:I64" si="17">ABS(1-D45)*100</f>
        <v>100</v>
      </c>
      <c r="L45" s="6">
        <v>0</v>
      </c>
      <c r="M45" s="6" t="e">
        <f>((L44)^3)-(L44)-8</f>
        <v>#VALUE!</v>
      </c>
    </row>
    <row r="46" spans="1:67" x14ac:dyDescent="0.3">
      <c r="A46" s="6">
        <v>3</v>
      </c>
      <c r="B46" s="7">
        <f t="shared" ref="B46:B56" si="18">IF(G45&lt;0,B45,D45)</f>
        <v>2</v>
      </c>
      <c r="C46" s="7">
        <f t="shared" ref="C46:C57" si="19">IF(G45&gt;0,C45,D45)</f>
        <v>2.5</v>
      </c>
      <c r="D46" s="7">
        <f t="shared" ref="D46:D57" si="20">(B46+C46)/2</f>
        <v>2.25</v>
      </c>
      <c r="E46" s="7">
        <f t="shared" ref="E46:E57" si="21">((B46)^3)-(B46)-8</f>
        <v>-2</v>
      </c>
      <c r="F46" s="7">
        <f t="shared" ref="F46:F57" si="22">((D46)^3)-(D46)-8</f>
        <v>1.140625</v>
      </c>
      <c r="G46" s="7">
        <f t="shared" ref="G46:G57" si="23">E46*F46</f>
        <v>-2.28125</v>
      </c>
      <c r="H46" s="7">
        <f t="shared" ref="H46:H57" si="24">ABS(D46-D45)/D46*100</f>
        <v>11.111111111111111</v>
      </c>
      <c r="I46" s="7">
        <f t="shared" si="17"/>
        <v>125</v>
      </c>
      <c r="L46" s="6">
        <v>0.1</v>
      </c>
      <c r="M46" s="6">
        <f t="shared" ref="M46:M60" si="25">((L45)^3)-(L45)-8</f>
        <v>-8</v>
      </c>
    </row>
    <row r="47" spans="1:67" x14ac:dyDescent="0.3">
      <c r="A47" s="6">
        <v>4</v>
      </c>
      <c r="B47" s="7">
        <f t="shared" si="18"/>
        <v>2</v>
      </c>
      <c r="C47" s="7">
        <f t="shared" si="19"/>
        <v>2.25</v>
      </c>
      <c r="D47" s="7">
        <f t="shared" si="20"/>
        <v>2.125</v>
      </c>
      <c r="E47" s="7">
        <f t="shared" si="21"/>
        <v>-2</v>
      </c>
      <c r="F47" s="7">
        <f t="shared" si="22"/>
        <v>-0.529296875</v>
      </c>
      <c r="G47" s="7">
        <f t="shared" si="23"/>
        <v>1.05859375</v>
      </c>
      <c r="H47" s="7">
        <f t="shared" si="24"/>
        <v>5.8823529411764701</v>
      </c>
      <c r="I47" s="7">
        <f t="shared" si="17"/>
        <v>112.5</v>
      </c>
      <c r="L47" s="6">
        <v>0.2</v>
      </c>
      <c r="M47" s="6">
        <f t="shared" si="25"/>
        <v>-8.0990000000000002</v>
      </c>
    </row>
    <row r="48" spans="1:67" x14ac:dyDescent="0.3">
      <c r="A48" s="6">
        <v>5</v>
      </c>
      <c r="B48" s="7">
        <f t="shared" si="18"/>
        <v>2.125</v>
      </c>
      <c r="C48" s="7">
        <f t="shared" si="19"/>
        <v>2.25</v>
      </c>
      <c r="D48" s="7">
        <f t="shared" si="20"/>
        <v>2.1875</v>
      </c>
      <c r="E48" s="7">
        <f t="shared" si="21"/>
        <v>-0.529296875</v>
      </c>
      <c r="F48" s="7">
        <f t="shared" si="22"/>
        <v>0.280029296875</v>
      </c>
      <c r="G48" s="7">
        <f t="shared" si="23"/>
        <v>-0.14821863174438477</v>
      </c>
      <c r="H48" s="7">
        <f t="shared" si="24"/>
        <v>2.8571428571428572</v>
      </c>
      <c r="I48" s="7">
        <f t="shared" si="17"/>
        <v>118.75</v>
      </c>
      <c r="L48" s="6">
        <v>0.3</v>
      </c>
      <c r="M48" s="6">
        <f t="shared" si="25"/>
        <v>-8.1920000000000002</v>
      </c>
    </row>
    <row r="49" spans="1:13" x14ac:dyDescent="0.3">
      <c r="A49" s="6">
        <v>6</v>
      </c>
      <c r="B49" s="7">
        <f t="shared" si="18"/>
        <v>2.125</v>
      </c>
      <c r="C49" s="7">
        <f t="shared" si="19"/>
        <v>2.1875</v>
      </c>
      <c r="D49" s="7">
        <f t="shared" si="20"/>
        <v>2.15625</v>
      </c>
      <c r="E49" s="7">
        <f t="shared" si="21"/>
        <v>-0.529296875</v>
      </c>
      <c r="F49" s="7">
        <f t="shared" si="22"/>
        <v>-0.130950927734375</v>
      </c>
      <c r="G49" s="7">
        <f t="shared" si="23"/>
        <v>6.9311916828155518E-2</v>
      </c>
      <c r="H49" s="7">
        <f t="shared" si="24"/>
        <v>1.4492753623188406</v>
      </c>
      <c r="I49" s="7">
        <f t="shared" si="17"/>
        <v>115.625</v>
      </c>
      <c r="L49" s="6">
        <v>0.4</v>
      </c>
      <c r="M49" s="6">
        <f t="shared" si="25"/>
        <v>-8.2729999999999997</v>
      </c>
    </row>
    <row r="50" spans="1:13" x14ac:dyDescent="0.3">
      <c r="A50" s="6">
        <v>7</v>
      </c>
      <c r="B50" s="7">
        <f t="shared" si="18"/>
        <v>2.15625</v>
      </c>
      <c r="C50" s="7">
        <f t="shared" si="19"/>
        <v>2.1875</v>
      </c>
      <c r="D50" s="7">
        <f t="shared" si="20"/>
        <v>2.171875</v>
      </c>
      <c r="E50" s="7">
        <f t="shared" si="21"/>
        <v>-0.130950927734375</v>
      </c>
      <c r="F50" s="7">
        <f t="shared" si="22"/>
        <v>7.2948455810546875E-2</v>
      </c>
      <c r="G50" s="7">
        <f t="shared" si="23"/>
        <v>-9.5526679651811719E-3</v>
      </c>
      <c r="H50" s="7">
        <f t="shared" si="24"/>
        <v>0.71942446043165476</v>
      </c>
      <c r="I50" s="7">
        <f t="shared" si="17"/>
        <v>117.1875</v>
      </c>
      <c r="L50" s="6">
        <v>0.5</v>
      </c>
      <c r="M50" s="6">
        <f t="shared" si="25"/>
        <v>-8.3360000000000003</v>
      </c>
    </row>
    <row r="51" spans="1:13" x14ac:dyDescent="0.3">
      <c r="A51" s="6">
        <v>8</v>
      </c>
      <c r="B51" s="7">
        <f t="shared" si="18"/>
        <v>2.15625</v>
      </c>
      <c r="C51" s="7">
        <f t="shared" si="19"/>
        <v>2.171875</v>
      </c>
      <c r="D51" s="7">
        <f t="shared" si="20"/>
        <v>2.1640625</v>
      </c>
      <c r="E51" s="7">
        <f t="shared" si="21"/>
        <v>-0.130950927734375</v>
      </c>
      <c r="F51" s="7">
        <f t="shared" si="22"/>
        <v>-2.9397487640380859E-2</v>
      </c>
      <c r="G51" s="7">
        <f t="shared" si="23"/>
        <v>3.8496282795676962E-3</v>
      </c>
      <c r="H51" s="7">
        <f t="shared" si="24"/>
        <v>0.36101083032490977</v>
      </c>
      <c r="I51" s="7">
        <f t="shared" si="17"/>
        <v>116.40625</v>
      </c>
      <c r="L51" s="6">
        <v>0.6</v>
      </c>
      <c r="M51" s="6">
        <f t="shared" si="25"/>
        <v>-8.375</v>
      </c>
    </row>
    <row r="52" spans="1:13" x14ac:dyDescent="0.3">
      <c r="A52" s="6">
        <v>9</v>
      </c>
      <c r="B52" s="7">
        <f t="shared" si="18"/>
        <v>2.1640625</v>
      </c>
      <c r="C52" s="7">
        <f t="shared" si="19"/>
        <v>2.171875</v>
      </c>
      <c r="D52" s="7">
        <f t="shared" si="20"/>
        <v>2.16796875</v>
      </c>
      <c r="E52" s="7">
        <f t="shared" si="21"/>
        <v>-2.9397487640380859E-2</v>
      </c>
      <c r="F52" s="7">
        <f t="shared" si="22"/>
        <v>2.1676242351531982E-2</v>
      </c>
      <c r="G52" s="7">
        <f t="shared" si="23"/>
        <v>-6.3722706661906159E-4</v>
      </c>
      <c r="H52" s="7">
        <f t="shared" si="24"/>
        <v>0.18018018018018017</v>
      </c>
      <c r="I52" s="7">
        <f t="shared" si="17"/>
        <v>116.796875</v>
      </c>
      <c r="L52" s="6">
        <v>0.7</v>
      </c>
      <c r="M52" s="6">
        <f t="shared" si="25"/>
        <v>-8.3840000000000003</v>
      </c>
    </row>
    <row r="53" spans="1:13" x14ac:dyDescent="0.3">
      <c r="A53" s="6">
        <v>10</v>
      </c>
      <c r="B53" s="7">
        <f t="shared" si="18"/>
        <v>2.1640625</v>
      </c>
      <c r="C53" s="7">
        <f t="shared" si="19"/>
        <v>2.16796875</v>
      </c>
      <c r="D53" s="7">
        <f t="shared" si="20"/>
        <v>2.166015625</v>
      </c>
      <c r="E53" s="7">
        <f t="shared" si="21"/>
        <v>-2.9397487640380859E-2</v>
      </c>
      <c r="F53" s="7">
        <f t="shared" si="22"/>
        <v>-3.8854107260704041E-3</v>
      </c>
      <c r="G53" s="7">
        <f t="shared" si="23"/>
        <v>1.1422131379745792E-4</v>
      </c>
      <c r="H53" s="7">
        <f t="shared" si="24"/>
        <v>9.0171325518485113E-2</v>
      </c>
      <c r="I53" s="7">
        <f t="shared" si="17"/>
        <v>116.6015625</v>
      </c>
      <c r="L53" s="6">
        <v>0.8</v>
      </c>
      <c r="M53" s="6">
        <f t="shared" si="25"/>
        <v>-8.3569999999999993</v>
      </c>
    </row>
    <row r="54" spans="1:13" x14ac:dyDescent="0.3">
      <c r="A54" s="6">
        <v>11</v>
      </c>
      <c r="B54" s="7">
        <f t="shared" si="18"/>
        <v>2.166015625</v>
      </c>
      <c r="C54" s="7">
        <f t="shared" si="19"/>
        <v>2.16796875</v>
      </c>
      <c r="D54" s="7">
        <f t="shared" si="20"/>
        <v>2.1669921875</v>
      </c>
      <c r="E54" s="7">
        <f t="shared" si="21"/>
        <v>-3.8854107260704041E-3</v>
      </c>
      <c r="F54" s="7">
        <f t="shared" si="22"/>
        <v>8.8892159983515739E-3</v>
      </c>
      <c r="G54" s="7">
        <f t="shared" si="23"/>
        <v>-3.4538255186351841E-5</v>
      </c>
      <c r="H54" s="7">
        <f t="shared" si="24"/>
        <v>4.506534474988734E-2</v>
      </c>
      <c r="I54" s="7">
        <f t="shared" si="17"/>
        <v>116.69921875</v>
      </c>
      <c r="L54" s="6">
        <v>0.9</v>
      </c>
      <c r="M54" s="6">
        <f t="shared" si="25"/>
        <v>-8.2880000000000003</v>
      </c>
    </row>
    <row r="55" spans="1:13" x14ac:dyDescent="0.3">
      <c r="A55" s="6">
        <v>12</v>
      </c>
      <c r="B55" s="7">
        <f t="shared" si="18"/>
        <v>2.166015625</v>
      </c>
      <c r="C55" s="7">
        <f t="shared" si="19"/>
        <v>2.1669921875</v>
      </c>
      <c r="D55" s="7">
        <f t="shared" si="20"/>
        <v>2.16650390625</v>
      </c>
      <c r="E55" s="7">
        <f t="shared" si="21"/>
        <v>-3.8854107260704041E-3</v>
      </c>
      <c r="F55" s="7">
        <f t="shared" si="22"/>
        <v>2.5003530317917466E-3</v>
      </c>
      <c r="G55" s="7">
        <f t="shared" si="23"/>
        <v>-9.7148984886863063E-6</v>
      </c>
      <c r="H55" s="7">
        <f t="shared" si="24"/>
        <v>2.2537750732476901E-2</v>
      </c>
      <c r="I55" s="7">
        <f t="shared" si="17"/>
        <v>116.650390625</v>
      </c>
      <c r="L55" s="6">
        <v>1</v>
      </c>
      <c r="M55" s="6">
        <f t="shared" si="25"/>
        <v>-8.1709999999999994</v>
      </c>
    </row>
    <row r="56" spans="1:13" x14ac:dyDescent="0.3">
      <c r="A56" s="6">
        <v>13</v>
      </c>
      <c r="B56" s="7">
        <f t="shared" si="18"/>
        <v>2.166015625</v>
      </c>
      <c r="C56" s="7">
        <f t="shared" si="19"/>
        <v>2.16650390625</v>
      </c>
      <c r="D56" s="7">
        <f t="shared" si="20"/>
        <v>2.166259765625</v>
      </c>
      <c r="E56" s="7">
        <f t="shared" si="21"/>
        <v>-3.8854107260704041E-3</v>
      </c>
      <c r="F56" s="7">
        <f t="shared" si="22"/>
        <v>-6.9291620457079262E-4</v>
      </c>
      <c r="G56" s="7">
        <f t="shared" si="23"/>
        <v>2.692264053507352E-6</v>
      </c>
      <c r="H56" s="7">
        <f t="shared" si="24"/>
        <v>1.1270145384875464E-2</v>
      </c>
      <c r="I56" s="7">
        <f t="shared" si="17"/>
        <v>116.6259765625</v>
      </c>
      <c r="L56" s="6">
        <v>1.1000000000000001</v>
      </c>
      <c r="M56" s="6">
        <f t="shared" si="25"/>
        <v>-8</v>
      </c>
    </row>
    <row r="57" spans="1:13" x14ac:dyDescent="0.3">
      <c r="A57" s="6">
        <v>14</v>
      </c>
      <c r="B57" s="7">
        <f>IF(G56&lt;0,B56,D56)</f>
        <v>2.166259765625</v>
      </c>
      <c r="C57" s="7">
        <f t="shared" si="19"/>
        <v>2.16650390625</v>
      </c>
      <c r="D57" s="7">
        <f t="shared" si="20"/>
        <v>2.1663818359375</v>
      </c>
      <c r="E57" s="7">
        <f t="shared" si="21"/>
        <v>-6.9291620457079262E-4</v>
      </c>
      <c r="F57" s="7">
        <f t="shared" si="22"/>
        <v>9.0362156879564282E-4</v>
      </c>
      <c r="G57" s="7">
        <f t="shared" si="23"/>
        <v>-6.2613402781818216E-7</v>
      </c>
      <c r="H57" s="7">
        <f t="shared" si="24"/>
        <v>5.6347551698878676E-3</v>
      </c>
      <c r="I57" s="7">
        <f t="shared" si="17"/>
        <v>116.63818359375</v>
      </c>
      <c r="L57" s="6">
        <v>1.2</v>
      </c>
      <c r="M57" s="6">
        <f t="shared" si="25"/>
        <v>-7.7690000000000001</v>
      </c>
    </row>
    <row r="58" spans="1:13" x14ac:dyDescent="0.3">
      <c r="A58" s="6">
        <v>15</v>
      </c>
      <c r="B58" s="7">
        <f t="shared" ref="B58:B63" si="26">IF(G57&lt;0,B57,D57)</f>
        <v>2.166259765625</v>
      </c>
      <c r="C58" s="7">
        <f t="shared" ref="C58:C63" si="27">IF(G57&gt;0,C57,D57)</f>
        <v>2.1663818359375</v>
      </c>
      <c r="D58" s="7">
        <f t="shared" ref="D58:D63" si="28">(B58+C58)/2</f>
        <v>2.16632080078125</v>
      </c>
      <c r="E58" s="7">
        <f t="shared" ref="E58:E63" si="29">((B58)^3)-(B58)-8</f>
        <v>-6.9291620457079262E-4</v>
      </c>
      <c r="F58" s="7">
        <f t="shared" ref="F58:F63" si="30">((D58)^3)-(D58)-8</f>
        <v>1.0532847159083758E-4</v>
      </c>
      <c r="G58" s="7">
        <f t="shared" ref="G58:G63" si="31">E58*F58</f>
        <v>-7.2983804767965734E-8</v>
      </c>
      <c r="H58" s="7">
        <f t="shared" ref="H58:H63" si="32">ABS(D58-D57)/D58*100</f>
        <v>2.8174569633448846E-3</v>
      </c>
      <c r="I58" s="7">
        <f t="shared" si="17"/>
        <v>116.632080078125</v>
      </c>
      <c r="L58" s="6">
        <v>1.3</v>
      </c>
      <c r="M58" s="6">
        <f t="shared" si="25"/>
        <v>-7.4719999999999995</v>
      </c>
    </row>
    <row r="59" spans="1:13" x14ac:dyDescent="0.3">
      <c r="A59" s="6">
        <v>16</v>
      </c>
      <c r="B59" s="7">
        <f t="shared" si="26"/>
        <v>2.166259765625</v>
      </c>
      <c r="C59" s="7">
        <f t="shared" si="27"/>
        <v>2.16632080078125</v>
      </c>
      <c r="D59" s="7">
        <f t="shared" si="28"/>
        <v>2.166290283203125</v>
      </c>
      <c r="E59" s="7">
        <f t="shared" si="29"/>
        <v>-6.9291620457079262E-4</v>
      </c>
      <c r="F59" s="7">
        <f t="shared" si="30"/>
        <v>-2.9379991903510927E-4</v>
      </c>
      <c r="G59" s="7">
        <f t="shared" si="31"/>
        <v>2.0357872480101407E-7</v>
      </c>
      <c r="H59" s="7">
        <f t="shared" si="32"/>
        <v>1.4087483271113615E-3</v>
      </c>
      <c r="I59" s="7">
        <f t="shared" si="17"/>
        <v>116.6290283203125</v>
      </c>
      <c r="L59" s="6">
        <v>1.4</v>
      </c>
      <c r="M59" s="6">
        <f t="shared" si="25"/>
        <v>-7.1029999999999998</v>
      </c>
    </row>
    <row r="60" spans="1:13" x14ac:dyDescent="0.3">
      <c r="A60" s="6">
        <v>17</v>
      </c>
      <c r="B60" s="7">
        <f t="shared" si="26"/>
        <v>2.166290283203125</v>
      </c>
      <c r="C60" s="7">
        <f t="shared" si="27"/>
        <v>2.16632080078125</v>
      </c>
      <c r="D60" s="7">
        <f t="shared" si="28"/>
        <v>2.1663055419921875</v>
      </c>
      <c r="E60" s="7">
        <f t="shared" si="29"/>
        <v>-2.9379991903510927E-4</v>
      </c>
      <c r="F60" s="7">
        <f t="shared" si="30"/>
        <v>-9.4237236869076924E-5</v>
      </c>
      <c r="G60" s="7">
        <f t="shared" si="31"/>
        <v>2.7686892562227215E-8</v>
      </c>
      <c r="H60" s="7">
        <f t="shared" si="32"/>
        <v>7.0436920216100478E-4</v>
      </c>
      <c r="I60" s="7">
        <f t="shared" si="17"/>
        <v>116.63055419921875</v>
      </c>
      <c r="L60" s="6">
        <v>1.5</v>
      </c>
      <c r="M60" s="6">
        <f t="shared" si="25"/>
        <v>-6.6560000000000006</v>
      </c>
    </row>
    <row r="61" spans="1:13" x14ac:dyDescent="0.3">
      <c r="A61" s="6">
        <v>18</v>
      </c>
      <c r="B61" s="7">
        <f t="shared" si="26"/>
        <v>2.1663055419921875</v>
      </c>
      <c r="C61" s="7">
        <f t="shared" si="27"/>
        <v>2.16632080078125</v>
      </c>
      <c r="D61" s="7">
        <f t="shared" si="28"/>
        <v>2.1663131713867188</v>
      </c>
      <c r="E61" s="7">
        <f t="shared" si="29"/>
        <v>-9.4237236869076924E-5</v>
      </c>
      <c r="F61" s="7">
        <f t="shared" si="30"/>
        <v>5.5452390732568801E-6</v>
      </c>
      <c r="G61" s="7">
        <f t="shared" si="31"/>
        <v>-5.2256800804216918E-10</v>
      </c>
      <c r="H61" s="7">
        <f t="shared" si="32"/>
        <v>3.5218336074493821E-4</v>
      </c>
      <c r="I61" s="7">
        <f t="shared" si="17"/>
        <v>116.63131713867188</v>
      </c>
      <c r="L61" s="22"/>
      <c r="M61" s="22"/>
    </row>
    <row r="62" spans="1:13" x14ac:dyDescent="0.3">
      <c r="A62" s="6">
        <v>19</v>
      </c>
      <c r="B62" s="7">
        <f t="shared" si="26"/>
        <v>2.1663055419921875</v>
      </c>
      <c r="C62" s="7">
        <f t="shared" si="27"/>
        <v>2.1663131713867188</v>
      </c>
      <c r="D62" s="7">
        <f t="shared" si="28"/>
        <v>2.1663093566894531</v>
      </c>
      <c r="E62" s="7">
        <f t="shared" si="29"/>
        <v>-9.4237236869076924E-5</v>
      </c>
      <c r="F62" s="7">
        <f t="shared" si="30"/>
        <v>-4.4346093469371795E-5</v>
      </c>
      <c r="G62" s="7">
        <f t="shared" si="31"/>
        <v>4.1790533144914154E-9</v>
      </c>
      <c r="H62" s="7">
        <f t="shared" si="32"/>
        <v>1.7609199045581412E-4</v>
      </c>
      <c r="I62" s="7">
        <f t="shared" si="17"/>
        <v>116.63093566894531</v>
      </c>
      <c r="L62" s="22"/>
      <c r="M62" s="22"/>
    </row>
    <row r="63" spans="1:13" x14ac:dyDescent="0.3">
      <c r="A63" s="6">
        <v>20</v>
      </c>
      <c r="B63" s="7">
        <f t="shared" si="26"/>
        <v>2.1663093566894531</v>
      </c>
      <c r="C63" s="7">
        <f t="shared" si="27"/>
        <v>2.1663131713867188</v>
      </c>
      <c r="D63" s="7">
        <f t="shared" si="28"/>
        <v>2.1663112640380859</v>
      </c>
      <c r="E63" s="7">
        <f t="shared" si="29"/>
        <v>-4.4346093469371795E-5</v>
      </c>
      <c r="F63" s="7">
        <f t="shared" si="30"/>
        <v>-1.9400450842255168E-5</v>
      </c>
      <c r="G63" s="7">
        <f t="shared" si="31"/>
        <v>8.6033420639860048E-10</v>
      </c>
      <c r="H63" s="7">
        <f t="shared" si="32"/>
        <v>8.8045917707002555E-5</v>
      </c>
      <c r="I63" s="7">
        <f t="shared" si="17"/>
        <v>116.63112640380859</v>
      </c>
      <c r="L63" s="22"/>
      <c r="M63" s="22"/>
    </row>
    <row r="64" spans="1:13" x14ac:dyDescent="0.3">
      <c r="A64" s="18">
        <v>21</v>
      </c>
      <c r="B64" s="12">
        <f t="shared" ref="B64" si="33">IF(G63&lt;0,B63,D63)</f>
        <v>2.1663112640380859</v>
      </c>
      <c r="C64" s="12">
        <f t="shared" ref="C64" si="34">IF(G63&gt;0,C63,D63)</f>
        <v>2.1663131713867188</v>
      </c>
      <c r="D64" s="12">
        <f t="shared" ref="D64" si="35">(B64+C64)/2</f>
        <v>2.1663122177124023</v>
      </c>
      <c r="E64" s="12">
        <f t="shared" ref="E64" si="36">((B64)^3)-(B64)-8</f>
        <v>-1.9400450842255168E-5</v>
      </c>
      <c r="F64" s="12">
        <f t="shared" ref="F64" si="37">((D64)^3)-(D64)-8</f>
        <v>-6.9276117944383486E-6</v>
      </c>
      <c r="G64" s="12">
        <f t="shared" ref="G64" si="38">E64*F64</f>
        <v>1.343987920722283E-10</v>
      </c>
      <c r="H64" s="12">
        <f t="shared" ref="H64" si="39">ABS(D64-D63)/D64*100</f>
        <v>4.4022939473300749E-5</v>
      </c>
      <c r="I64" s="12">
        <f t="shared" si="17"/>
        <v>116.63122177124023</v>
      </c>
      <c r="L64" s="22"/>
      <c r="M64" s="22"/>
    </row>
    <row r="65" spans="1:49" x14ac:dyDescent="0.3">
      <c r="A65" s="22"/>
      <c r="L65" s="22"/>
      <c r="M65" s="22"/>
    </row>
    <row r="66" spans="1:49" x14ac:dyDescent="0.3">
      <c r="A66" s="22"/>
      <c r="L66" s="22"/>
      <c r="M66" s="22"/>
    </row>
    <row r="67" spans="1:49" x14ac:dyDescent="0.3">
      <c r="A67" s="22"/>
      <c r="L67" s="22"/>
      <c r="M67" s="22"/>
    </row>
    <row r="68" spans="1:49" x14ac:dyDescent="0.3">
      <c r="A68" s="22"/>
      <c r="L68" s="22"/>
      <c r="M68" s="22"/>
    </row>
    <row r="69" spans="1:49" x14ac:dyDescent="0.3">
      <c r="A69" s="22"/>
      <c r="L69" s="22"/>
      <c r="M69" s="22"/>
    </row>
    <row r="70" spans="1:49" x14ac:dyDescent="0.3">
      <c r="A70" s="22"/>
      <c r="L70" s="22"/>
      <c r="M70" s="22"/>
    </row>
    <row r="71" spans="1:49" x14ac:dyDescent="0.3">
      <c r="A71" s="22"/>
      <c r="L71" s="22"/>
      <c r="M71" s="22"/>
    </row>
    <row r="72" spans="1:49" x14ac:dyDescent="0.3">
      <c r="A72" s="22"/>
      <c r="L72" s="22"/>
      <c r="M72" s="22"/>
    </row>
    <row r="73" spans="1:49" x14ac:dyDescent="0.3">
      <c r="A73" s="22"/>
    </row>
    <row r="74" spans="1:49" x14ac:dyDescent="0.3">
      <c r="A74" s="23"/>
      <c r="B74" s="24"/>
      <c r="C74" s="24"/>
      <c r="D74" s="24"/>
      <c r="E74" s="24"/>
      <c r="F74" s="24"/>
      <c r="G74" s="24"/>
      <c r="H74" s="24"/>
      <c r="I74" s="24"/>
      <c r="J74" s="24"/>
    </row>
    <row r="75" spans="1:49" x14ac:dyDescent="0.3"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8" spans="1:49" x14ac:dyDescent="0.3">
      <c r="L78" s="31" t="s">
        <v>14</v>
      </c>
      <c r="M78" s="31" t="s">
        <v>15</v>
      </c>
    </row>
    <row r="79" spans="1:49" x14ac:dyDescent="0.3">
      <c r="L79" s="6">
        <v>0</v>
      </c>
      <c r="M79" s="6">
        <f>2*L79^2+10*L79-20</f>
        <v>-20</v>
      </c>
    </row>
    <row r="80" spans="1:49" x14ac:dyDescent="0.3">
      <c r="L80" s="6">
        <v>0.1</v>
      </c>
      <c r="M80" s="6">
        <f>2*L80^2+10*L80-20</f>
        <v>-18.98</v>
      </c>
    </row>
    <row r="81" spans="1:13" x14ac:dyDescent="0.3">
      <c r="A81" s="30" t="s">
        <v>8</v>
      </c>
      <c r="B81" s="30" t="s">
        <v>42</v>
      </c>
      <c r="C81" s="30" t="s">
        <v>43</v>
      </c>
      <c r="D81" s="30" t="s">
        <v>44</v>
      </c>
      <c r="E81" s="30" t="s">
        <v>45</v>
      </c>
      <c r="F81" s="30" t="s">
        <v>46</v>
      </c>
      <c r="G81" s="30" t="s">
        <v>47</v>
      </c>
      <c r="H81" s="30" t="s">
        <v>48</v>
      </c>
      <c r="I81" s="30" t="s">
        <v>49</v>
      </c>
      <c r="L81" s="6">
        <v>0.2</v>
      </c>
      <c r="M81" s="6">
        <f t="shared" ref="M81:M95" si="40">2*L81^2+10*L81-20</f>
        <v>-17.920000000000002</v>
      </c>
    </row>
    <row r="82" spans="1:13" x14ac:dyDescent="0.3">
      <c r="A82" s="6">
        <v>1</v>
      </c>
      <c r="B82" s="7">
        <v>1</v>
      </c>
      <c r="C82" s="7">
        <v>2</v>
      </c>
      <c r="D82" s="7">
        <f>( B82+C82)/2</f>
        <v>1.5</v>
      </c>
      <c r="E82" s="7">
        <f>(2*((B82)^2)+(10*(B82))-20)</f>
        <v>-8</v>
      </c>
      <c r="F82" s="7">
        <f>(2*((D82)^2)+(10*(D82))-20)</f>
        <v>-0.5</v>
      </c>
      <c r="G82" s="7">
        <f>E82*F82</f>
        <v>4</v>
      </c>
      <c r="H82" s="7"/>
      <c r="I82" s="7">
        <f>ABS(1-D82)*100</f>
        <v>50</v>
      </c>
      <c r="L82" s="6">
        <v>0.3</v>
      </c>
      <c r="M82" s="6">
        <f>2*L82^2+10*L82-20</f>
        <v>-16.82</v>
      </c>
    </row>
    <row r="83" spans="1:13" x14ac:dyDescent="0.3">
      <c r="A83" s="6">
        <v>2</v>
      </c>
      <c r="B83" s="7">
        <f>IF(G82&lt;0,B82,D82)</f>
        <v>1.5</v>
      </c>
      <c r="C83" s="7">
        <f>IF(G82&gt;0,C82,D82)</f>
        <v>2</v>
      </c>
      <c r="D83" s="7">
        <f>( B83+C83)/2</f>
        <v>1.75</v>
      </c>
      <c r="E83" s="7">
        <f>(2*((B83)^2)+(10*(B83))-20)</f>
        <v>-0.5</v>
      </c>
      <c r="F83" s="7">
        <f>(2*((D83)^2)+(10*(D83))-20)</f>
        <v>3.625</v>
      </c>
      <c r="G83" s="7">
        <f>E83*F83</f>
        <v>-1.8125</v>
      </c>
      <c r="H83" s="7">
        <f>ABS((D83-D82)/D83)*100</f>
        <v>14.285714285714285</v>
      </c>
      <c r="I83" s="7">
        <f>ABS(1-D83)*100</f>
        <v>75</v>
      </c>
      <c r="L83" s="6">
        <v>0.4</v>
      </c>
      <c r="M83" s="6">
        <f t="shared" si="40"/>
        <v>-15.68</v>
      </c>
    </row>
    <row r="84" spans="1:13" x14ac:dyDescent="0.3">
      <c r="A84" s="6">
        <v>3</v>
      </c>
      <c r="B84" s="7">
        <f t="shared" ref="B84:B95" si="41">IF(G83&lt;0,B83,D83)</f>
        <v>1.5</v>
      </c>
      <c r="C84" s="7">
        <f t="shared" ref="C84:C95" si="42">IF(G83&gt;0,C83,D83)</f>
        <v>1.75</v>
      </c>
      <c r="D84" s="7">
        <f t="shared" ref="D84:D95" si="43">( B84+C84)/2</f>
        <v>1.625</v>
      </c>
      <c r="E84" s="7">
        <f t="shared" ref="E84:E95" si="44">(2*((B84)^2)+(10*(B84))-20)</f>
        <v>-0.5</v>
      </c>
      <c r="F84" s="7">
        <f t="shared" ref="F84:F95" si="45">(2*((D84)^2)+(10*(D84))-20)</f>
        <v>1.53125</v>
      </c>
      <c r="G84" s="7">
        <f t="shared" ref="G84:G95" si="46">E84*F84</f>
        <v>-0.765625</v>
      </c>
      <c r="H84" s="7">
        <f>ABS((D84-D83)/D84)*100</f>
        <v>7.6923076923076925</v>
      </c>
      <c r="I84" s="7">
        <f t="shared" ref="I84:I95" si="47">ABS(1-D84)*100</f>
        <v>62.5</v>
      </c>
      <c r="L84" s="6">
        <v>0.5</v>
      </c>
      <c r="M84" s="6">
        <f t="shared" si="40"/>
        <v>-14.5</v>
      </c>
    </row>
    <row r="85" spans="1:13" x14ac:dyDescent="0.3">
      <c r="A85" s="6">
        <v>4</v>
      </c>
      <c r="B85" s="7">
        <f t="shared" si="41"/>
        <v>1.5</v>
      </c>
      <c r="C85" s="7">
        <f t="shared" si="42"/>
        <v>1.625</v>
      </c>
      <c r="D85" s="7">
        <f t="shared" si="43"/>
        <v>1.5625</v>
      </c>
      <c r="E85" s="7">
        <f t="shared" si="44"/>
        <v>-0.5</v>
      </c>
      <c r="F85" s="7">
        <f t="shared" si="45"/>
        <v>0.5078125</v>
      </c>
      <c r="G85" s="7">
        <f t="shared" si="46"/>
        <v>-0.25390625</v>
      </c>
      <c r="H85" s="7">
        <f t="shared" ref="H85:H95" si="48">ABS((D85-D84)/D85)*100</f>
        <v>4</v>
      </c>
      <c r="I85" s="7">
        <f t="shared" si="47"/>
        <v>56.25</v>
      </c>
      <c r="L85" s="6">
        <v>0.6</v>
      </c>
      <c r="M85" s="6">
        <f t="shared" si="40"/>
        <v>-13.280000000000001</v>
      </c>
    </row>
    <row r="86" spans="1:13" x14ac:dyDescent="0.3">
      <c r="A86" s="6">
        <v>5</v>
      </c>
      <c r="B86" s="7">
        <f t="shared" si="41"/>
        <v>1.5</v>
      </c>
      <c r="C86" s="7">
        <f t="shared" si="42"/>
        <v>1.5625</v>
      </c>
      <c r="D86" s="7">
        <f t="shared" si="43"/>
        <v>1.53125</v>
      </c>
      <c r="E86" s="7">
        <f t="shared" si="44"/>
        <v>-0.5</v>
      </c>
      <c r="F86" s="7">
        <f t="shared" si="45"/>
        <v>1.953125E-3</v>
      </c>
      <c r="G86" s="7">
        <f t="shared" si="46"/>
        <v>-9.765625E-4</v>
      </c>
      <c r="H86" s="7">
        <f t="shared" si="48"/>
        <v>2.0408163265306123</v>
      </c>
      <c r="I86" s="7">
        <f>ABS(1-D86)*100</f>
        <v>53.125</v>
      </c>
      <c r="L86" s="6">
        <v>0.7</v>
      </c>
      <c r="M86" s="6">
        <f t="shared" si="40"/>
        <v>-12.02</v>
      </c>
    </row>
    <row r="87" spans="1:13" x14ac:dyDescent="0.3">
      <c r="A87" s="6">
        <v>6</v>
      </c>
      <c r="B87" s="7">
        <f t="shared" si="41"/>
        <v>1.5</v>
      </c>
      <c r="C87" s="7">
        <f t="shared" si="42"/>
        <v>1.53125</v>
      </c>
      <c r="D87" s="7">
        <f t="shared" si="43"/>
        <v>1.515625</v>
      </c>
      <c r="E87" s="7">
        <f t="shared" si="44"/>
        <v>-0.5</v>
      </c>
      <c r="F87" s="7">
        <f t="shared" si="45"/>
        <v>-0.24951171875</v>
      </c>
      <c r="G87" s="7">
        <f t="shared" si="46"/>
        <v>0.124755859375</v>
      </c>
      <c r="H87" s="7">
        <f t="shared" si="48"/>
        <v>1.0309278350515463</v>
      </c>
      <c r="I87" s="7">
        <f t="shared" si="47"/>
        <v>51.5625</v>
      </c>
      <c r="L87" s="6">
        <v>0.8</v>
      </c>
      <c r="M87" s="6">
        <f t="shared" si="40"/>
        <v>-10.719999999999999</v>
      </c>
    </row>
    <row r="88" spans="1:13" x14ac:dyDescent="0.3">
      <c r="A88" s="6">
        <v>7</v>
      </c>
      <c r="B88" s="7">
        <f t="shared" si="41"/>
        <v>1.515625</v>
      </c>
      <c r="C88" s="7">
        <f t="shared" si="42"/>
        <v>1.53125</v>
      </c>
      <c r="D88" s="7">
        <f t="shared" si="43"/>
        <v>1.5234375</v>
      </c>
      <c r="E88" s="7">
        <f t="shared" si="44"/>
        <v>-0.24951171875</v>
      </c>
      <c r="F88" s="7">
        <f t="shared" si="45"/>
        <v>-0.1239013671875</v>
      </c>
      <c r="G88" s="7">
        <f t="shared" si="46"/>
        <v>3.0914843082427979E-2</v>
      </c>
      <c r="H88" s="7">
        <f t="shared" si="48"/>
        <v>0.51282051282051277</v>
      </c>
      <c r="I88" s="7">
        <f t="shared" si="47"/>
        <v>52.34375</v>
      </c>
      <c r="L88" s="6">
        <v>0.9</v>
      </c>
      <c r="M88" s="6">
        <f t="shared" si="40"/>
        <v>-9.379999999999999</v>
      </c>
    </row>
    <row r="89" spans="1:13" x14ac:dyDescent="0.3">
      <c r="A89" s="6">
        <v>8</v>
      </c>
      <c r="B89" s="7">
        <f t="shared" si="41"/>
        <v>1.5234375</v>
      </c>
      <c r="C89" s="7">
        <f t="shared" si="42"/>
        <v>1.53125</v>
      </c>
      <c r="D89" s="7">
        <f t="shared" si="43"/>
        <v>1.52734375</v>
      </c>
      <c r="E89" s="7">
        <f t="shared" si="44"/>
        <v>-0.1239013671875</v>
      </c>
      <c r="F89" s="7">
        <f t="shared" si="45"/>
        <v>-6.1004638671875E-2</v>
      </c>
      <c r="G89" s="7">
        <f t="shared" si="46"/>
        <v>7.5585581362247467E-3</v>
      </c>
      <c r="H89" s="7">
        <f t="shared" si="48"/>
        <v>0.25575447570332482</v>
      </c>
      <c r="I89" s="7">
        <f t="shared" si="47"/>
        <v>52.734375</v>
      </c>
      <c r="L89" s="6">
        <v>1</v>
      </c>
      <c r="M89" s="6">
        <f t="shared" si="40"/>
        <v>-8</v>
      </c>
    </row>
    <row r="90" spans="1:13" x14ac:dyDescent="0.3">
      <c r="A90" s="6">
        <v>9</v>
      </c>
      <c r="B90" s="7">
        <f t="shared" si="41"/>
        <v>1.52734375</v>
      </c>
      <c r="C90" s="7">
        <f t="shared" si="42"/>
        <v>1.53125</v>
      </c>
      <c r="D90" s="7">
        <f t="shared" si="43"/>
        <v>1.529296875</v>
      </c>
      <c r="E90" s="7">
        <f t="shared" si="44"/>
        <v>-6.1004638671875E-2</v>
      </c>
      <c r="F90" s="7">
        <f t="shared" si="45"/>
        <v>-2.953338623046875E-2</v>
      </c>
      <c r="G90" s="7">
        <f t="shared" si="46"/>
        <v>1.8016735557466745E-3</v>
      </c>
      <c r="H90" s="7">
        <f t="shared" si="48"/>
        <v>0.1277139208173691</v>
      </c>
      <c r="I90" s="7">
        <f t="shared" si="47"/>
        <v>52.9296875</v>
      </c>
      <c r="L90" s="6">
        <v>1.1000000000000001</v>
      </c>
      <c r="M90" s="6">
        <f t="shared" si="40"/>
        <v>-6.58</v>
      </c>
    </row>
    <row r="91" spans="1:13" x14ac:dyDescent="0.3">
      <c r="A91" s="6">
        <v>10</v>
      </c>
      <c r="B91" s="7">
        <f t="shared" si="41"/>
        <v>1.529296875</v>
      </c>
      <c r="C91" s="7">
        <f t="shared" si="42"/>
        <v>1.53125</v>
      </c>
      <c r="D91" s="7">
        <f t="shared" si="43"/>
        <v>1.5302734375</v>
      </c>
      <c r="E91" s="7">
        <f t="shared" si="44"/>
        <v>-2.953338623046875E-2</v>
      </c>
      <c r="F91" s="7">
        <f t="shared" si="45"/>
        <v>-1.3792037963867188E-2</v>
      </c>
      <c r="G91" s="7">
        <f t="shared" si="46"/>
        <v>4.0732558409217745E-4</v>
      </c>
      <c r="H91" s="7">
        <f t="shared" si="48"/>
        <v>6.381620931716657E-2</v>
      </c>
      <c r="I91" s="7">
        <f t="shared" si="47"/>
        <v>53.02734375</v>
      </c>
      <c r="L91" s="6">
        <v>1.2</v>
      </c>
      <c r="M91" s="6">
        <f t="shared" si="40"/>
        <v>-5.120000000000001</v>
      </c>
    </row>
    <row r="92" spans="1:13" x14ac:dyDescent="0.3">
      <c r="A92" s="6">
        <v>11</v>
      </c>
      <c r="B92" s="7">
        <f t="shared" si="41"/>
        <v>1.5302734375</v>
      </c>
      <c r="C92" s="7">
        <f t="shared" si="42"/>
        <v>1.53125</v>
      </c>
      <c r="D92" s="7">
        <f t="shared" si="43"/>
        <v>1.53076171875</v>
      </c>
      <c r="E92" s="7">
        <f t="shared" si="44"/>
        <v>-1.3792037963867188E-2</v>
      </c>
      <c r="F92" s="7">
        <f t="shared" si="45"/>
        <v>-5.9199333190917969E-3</v>
      </c>
      <c r="G92" s="7">
        <f t="shared" si="46"/>
        <v>8.1647945080476347E-5</v>
      </c>
      <c r="H92" s="7">
        <f t="shared" si="48"/>
        <v>3.1897926634768738E-2</v>
      </c>
      <c r="I92" s="7">
        <f t="shared" si="47"/>
        <v>53.076171875</v>
      </c>
      <c r="L92" s="6">
        <v>1.3</v>
      </c>
      <c r="M92" s="6">
        <f t="shared" si="40"/>
        <v>-3.620000000000001</v>
      </c>
    </row>
    <row r="93" spans="1:13" x14ac:dyDescent="0.3">
      <c r="A93" s="6">
        <v>12</v>
      </c>
      <c r="B93" s="7">
        <f t="shared" si="41"/>
        <v>1.53076171875</v>
      </c>
      <c r="C93" s="7">
        <f t="shared" si="42"/>
        <v>1.53125</v>
      </c>
      <c r="D93" s="7">
        <f t="shared" si="43"/>
        <v>1.531005859375</v>
      </c>
      <c r="E93" s="7">
        <f t="shared" si="44"/>
        <v>-5.9199333190917969E-3</v>
      </c>
      <c r="F93" s="7">
        <f t="shared" si="45"/>
        <v>-1.9835233688354492E-3</v>
      </c>
      <c r="G93" s="7">
        <f t="shared" si="46"/>
        <v>1.1742326080366183E-5</v>
      </c>
      <c r="H93" s="7">
        <f t="shared" si="48"/>
        <v>1.5946420028703556E-2</v>
      </c>
      <c r="I93" s="7">
        <f t="shared" si="47"/>
        <v>53.1005859375</v>
      </c>
      <c r="L93" s="6">
        <v>1.4</v>
      </c>
      <c r="M93" s="6">
        <f t="shared" si="40"/>
        <v>-2.0800000000000018</v>
      </c>
    </row>
    <row r="94" spans="1:13" x14ac:dyDescent="0.3">
      <c r="A94" s="6">
        <v>13</v>
      </c>
      <c r="B94" s="7">
        <f t="shared" si="41"/>
        <v>1.531005859375</v>
      </c>
      <c r="C94" s="7">
        <f t="shared" si="42"/>
        <v>1.53125</v>
      </c>
      <c r="D94" s="7">
        <f t="shared" si="43"/>
        <v>1.5311279296875</v>
      </c>
      <c r="E94" s="7">
        <f t="shared" si="44"/>
        <v>-1.9835233688354492E-3</v>
      </c>
      <c r="F94" s="7">
        <f t="shared" si="45"/>
        <v>-1.5228986740112305E-5</v>
      </c>
      <c r="G94" s="7">
        <f t="shared" si="46"/>
        <v>3.0207051082697944E-8</v>
      </c>
      <c r="H94" s="7">
        <f t="shared" si="48"/>
        <v>7.9725743442557589E-3</v>
      </c>
      <c r="I94" s="7">
        <f t="shared" si="47"/>
        <v>53.11279296875</v>
      </c>
      <c r="L94" s="6">
        <v>1.5</v>
      </c>
      <c r="M94" s="6">
        <f>2*L94^2+10*L94-20</f>
        <v>-0.5</v>
      </c>
    </row>
    <row r="95" spans="1:13" x14ac:dyDescent="0.3">
      <c r="A95" s="18">
        <v>14</v>
      </c>
      <c r="B95" s="12">
        <f t="shared" si="41"/>
        <v>1.5311279296875</v>
      </c>
      <c r="C95" s="12">
        <f t="shared" si="42"/>
        <v>1.53125</v>
      </c>
      <c r="D95" s="12">
        <f t="shared" si="43"/>
        <v>1.53118896484375</v>
      </c>
      <c r="E95" s="12">
        <f t="shared" si="44"/>
        <v>-1.5228986740112305E-5</v>
      </c>
      <c r="F95" s="12">
        <f t="shared" si="45"/>
        <v>9.6894055604934692E-4</v>
      </c>
      <c r="G95" s="12">
        <f t="shared" si="46"/>
        <v>-1.4755982880032548E-8</v>
      </c>
      <c r="H95" s="12">
        <f t="shared" si="48"/>
        <v>3.986128273607845E-3</v>
      </c>
      <c r="I95" s="12">
        <f t="shared" si="47"/>
        <v>53.118896484375</v>
      </c>
      <c r="L95" s="6">
        <v>1.6</v>
      </c>
      <c r="M95" s="6">
        <f t="shared" si="40"/>
        <v>1.120000000000001</v>
      </c>
    </row>
    <row r="97" spans="1:54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</row>
    <row r="98" spans="1:54" x14ac:dyDescent="0.3">
      <c r="A98" s="38" t="s">
        <v>63</v>
      </c>
      <c r="B98" s="38"/>
      <c r="C98" s="38" t="s">
        <v>64</v>
      </c>
    </row>
    <row r="103" spans="1:54" x14ac:dyDescent="0.3">
      <c r="A103" s="38" t="s">
        <v>62</v>
      </c>
      <c r="B103" s="38" t="s">
        <v>42</v>
      </c>
      <c r="C103" s="38" t="s">
        <v>43</v>
      </c>
      <c r="D103" s="38" t="s">
        <v>44</v>
      </c>
      <c r="E103" s="38" t="s">
        <v>45</v>
      </c>
      <c r="F103" s="38" t="s">
        <v>58</v>
      </c>
      <c r="G103" s="38" t="s">
        <v>46</v>
      </c>
      <c r="H103" s="38" t="s">
        <v>48</v>
      </c>
      <c r="I103" s="38" t="s">
        <v>49</v>
      </c>
      <c r="K103" s="38" t="s">
        <v>14</v>
      </c>
      <c r="L103" s="38" t="s">
        <v>15</v>
      </c>
    </row>
    <row r="104" spans="1:54" x14ac:dyDescent="0.3">
      <c r="A104" s="38">
        <v>1</v>
      </c>
      <c r="B104">
        <v>0</v>
      </c>
      <c r="C104">
        <v>3</v>
      </c>
      <c r="D104">
        <f t="shared" ref="D104:D113" si="49">(B104+C104)/2</f>
        <v>1.5</v>
      </c>
      <c r="E104">
        <f t="shared" ref="E104:E113" si="50">B104^2-4</f>
        <v>-4</v>
      </c>
      <c r="F104">
        <f t="shared" ref="F104:F113" si="51">C104^2-4</f>
        <v>5</v>
      </c>
      <c r="G104">
        <f t="shared" ref="G104:G113" si="52">D104^2-4</f>
        <v>-1.75</v>
      </c>
      <c r="I104">
        <f>ABS(1-D104)*100</f>
        <v>50</v>
      </c>
      <c r="K104">
        <v>1.5</v>
      </c>
      <c r="L104">
        <f>2*K104^2+10*K104-20</f>
        <v>-0.5</v>
      </c>
    </row>
    <row r="105" spans="1:54" x14ac:dyDescent="0.3">
      <c r="A105" s="38">
        <f t="shared" ref="A105:A113" si="53">A104+1</f>
        <v>2</v>
      </c>
      <c r="B105">
        <f t="shared" ref="B105:B113" si="54">IF(E104*G104&lt;0,B104,D104)</f>
        <v>1.5</v>
      </c>
      <c r="C105">
        <f t="shared" ref="C105:C113" si="55">IF(F104*G104&lt;0,C104,D104)</f>
        <v>3</v>
      </c>
      <c r="D105">
        <f t="shared" si="49"/>
        <v>2.25</v>
      </c>
      <c r="E105">
        <f t="shared" si="50"/>
        <v>-1.75</v>
      </c>
      <c r="F105">
        <f t="shared" si="51"/>
        <v>5</v>
      </c>
      <c r="G105">
        <f t="shared" si="52"/>
        <v>1.0625</v>
      </c>
      <c r="H105">
        <f>ABS((D105-D104)/D105)*100</f>
        <v>33.333333333333329</v>
      </c>
      <c r="I105">
        <f>ABS(1-D105)*100</f>
        <v>125</v>
      </c>
      <c r="K105">
        <v>1.6</v>
      </c>
      <c r="L105">
        <f t="shared" ref="L105:L108" si="56">2*K105^2+10*K105-20</f>
        <v>1.120000000000001</v>
      </c>
    </row>
    <row r="106" spans="1:54" x14ac:dyDescent="0.3">
      <c r="A106" s="38">
        <f t="shared" si="53"/>
        <v>3</v>
      </c>
      <c r="B106">
        <f t="shared" si="54"/>
        <v>1.5</v>
      </c>
      <c r="C106">
        <f t="shared" si="55"/>
        <v>2.25</v>
      </c>
      <c r="D106">
        <f t="shared" si="49"/>
        <v>1.875</v>
      </c>
      <c r="E106">
        <f t="shared" si="50"/>
        <v>-1.75</v>
      </c>
      <c r="F106">
        <f t="shared" si="51"/>
        <v>1.0625</v>
      </c>
      <c r="G106">
        <f t="shared" si="52"/>
        <v>-0.484375</v>
      </c>
      <c r="H106">
        <f t="shared" ref="H106:H113" si="57">ABS((D106-D105)/D106)*100</f>
        <v>20</v>
      </c>
      <c r="I106">
        <f t="shared" ref="I106:I113" si="58">ABS(1-D106)*100</f>
        <v>87.5</v>
      </c>
      <c r="K106">
        <v>1.7</v>
      </c>
      <c r="L106">
        <f t="shared" si="56"/>
        <v>2.7800000000000011</v>
      </c>
    </row>
    <row r="107" spans="1:54" x14ac:dyDescent="0.3">
      <c r="A107" s="38">
        <f t="shared" si="53"/>
        <v>4</v>
      </c>
      <c r="B107">
        <f t="shared" si="54"/>
        <v>1.875</v>
      </c>
      <c r="C107">
        <f t="shared" si="55"/>
        <v>2.25</v>
      </c>
      <c r="D107">
        <f t="shared" si="49"/>
        <v>2.0625</v>
      </c>
      <c r="E107">
        <f t="shared" si="50"/>
        <v>-0.484375</v>
      </c>
      <c r="F107">
        <f t="shared" si="51"/>
        <v>1.0625</v>
      </c>
      <c r="G107">
        <f t="shared" si="52"/>
        <v>0.25390625</v>
      </c>
      <c r="H107">
        <f t="shared" si="57"/>
        <v>9.0909090909090917</v>
      </c>
      <c r="I107">
        <f t="shared" si="58"/>
        <v>106.25</v>
      </c>
      <c r="K107">
        <v>1.8</v>
      </c>
      <c r="L107">
        <f t="shared" si="56"/>
        <v>4.4800000000000004</v>
      </c>
    </row>
    <row r="108" spans="1:54" x14ac:dyDescent="0.3">
      <c r="A108" s="38">
        <f t="shared" si="53"/>
        <v>5</v>
      </c>
      <c r="B108">
        <f t="shared" si="54"/>
        <v>1.875</v>
      </c>
      <c r="C108">
        <f t="shared" si="55"/>
        <v>2.0625</v>
      </c>
      <c r="D108">
        <f t="shared" si="49"/>
        <v>1.96875</v>
      </c>
      <c r="E108">
        <f t="shared" si="50"/>
        <v>-0.484375</v>
      </c>
      <c r="F108">
        <f t="shared" si="51"/>
        <v>0.25390625</v>
      </c>
      <c r="G108">
        <f t="shared" si="52"/>
        <v>-0.1240234375</v>
      </c>
      <c r="H108">
        <f t="shared" si="57"/>
        <v>4.7619047619047619</v>
      </c>
      <c r="I108">
        <f t="shared" si="58"/>
        <v>96.875</v>
      </c>
      <c r="K108">
        <v>1.9</v>
      </c>
      <c r="L108">
        <f t="shared" si="56"/>
        <v>6.2199999999999989</v>
      </c>
    </row>
    <row r="109" spans="1:54" x14ac:dyDescent="0.3">
      <c r="A109" s="38">
        <f t="shared" si="53"/>
        <v>6</v>
      </c>
      <c r="B109">
        <f t="shared" si="54"/>
        <v>1.96875</v>
      </c>
      <c r="C109">
        <f t="shared" si="55"/>
        <v>2.0625</v>
      </c>
      <c r="D109">
        <f t="shared" si="49"/>
        <v>2.015625</v>
      </c>
      <c r="E109">
        <f t="shared" si="50"/>
        <v>-0.1240234375</v>
      </c>
      <c r="F109">
        <f t="shared" si="51"/>
        <v>0.25390625</v>
      </c>
      <c r="G109">
        <f t="shared" si="52"/>
        <v>6.2744140625E-2</v>
      </c>
      <c r="H109">
        <f t="shared" si="57"/>
        <v>2.3255813953488373</v>
      </c>
      <c r="I109">
        <f t="shared" si="58"/>
        <v>101.5625</v>
      </c>
    </row>
    <row r="110" spans="1:54" x14ac:dyDescent="0.3">
      <c r="A110" s="38">
        <f t="shared" si="53"/>
        <v>7</v>
      </c>
      <c r="B110">
        <f t="shared" si="54"/>
        <v>1.96875</v>
      </c>
      <c r="C110">
        <f t="shared" si="55"/>
        <v>2.015625</v>
      </c>
      <c r="D110">
        <f t="shared" si="49"/>
        <v>1.9921875</v>
      </c>
      <c r="E110">
        <f t="shared" si="50"/>
        <v>-0.1240234375</v>
      </c>
      <c r="F110">
        <f t="shared" si="51"/>
        <v>6.2744140625E-2</v>
      </c>
      <c r="G110">
        <f t="shared" si="52"/>
        <v>-3.118896484375E-2</v>
      </c>
      <c r="H110">
        <f t="shared" si="57"/>
        <v>1.1764705882352942</v>
      </c>
      <c r="I110">
        <f t="shared" si="58"/>
        <v>99.21875</v>
      </c>
    </row>
    <row r="111" spans="1:54" x14ac:dyDescent="0.3">
      <c r="A111" s="38">
        <f t="shared" si="53"/>
        <v>8</v>
      </c>
      <c r="B111">
        <f t="shared" si="54"/>
        <v>1.9921875</v>
      </c>
      <c r="C111">
        <f t="shared" si="55"/>
        <v>2.015625</v>
      </c>
      <c r="D111">
        <f t="shared" si="49"/>
        <v>2.00390625</v>
      </c>
      <c r="E111">
        <f t="shared" si="50"/>
        <v>-3.118896484375E-2</v>
      </c>
      <c r="F111">
        <f t="shared" si="51"/>
        <v>6.2744140625E-2</v>
      </c>
      <c r="G111">
        <f t="shared" si="52"/>
        <v>1.56402587890625E-2</v>
      </c>
      <c r="H111">
        <f t="shared" si="57"/>
        <v>0.58479532163742687</v>
      </c>
      <c r="I111">
        <f t="shared" si="58"/>
        <v>100.390625</v>
      </c>
    </row>
    <row r="112" spans="1:54" x14ac:dyDescent="0.3">
      <c r="A112" s="38">
        <f t="shared" si="53"/>
        <v>9</v>
      </c>
      <c r="B112">
        <f t="shared" si="54"/>
        <v>1.9921875</v>
      </c>
      <c r="C112">
        <f t="shared" si="55"/>
        <v>2.00390625</v>
      </c>
      <c r="D112">
        <f t="shared" si="49"/>
        <v>1.998046875</v>
      </c>
      <c r="E112">
        <f t="shared" si="50"/>
        <v>-3.118896484375E-2</v>
      </c>
      <c r="F112">
        <f t="shared" si="51"/>
        <v>1.56402587890625E-2</v>
      </c>
      <c r="G112">
        <f t="shared" si="52"/>
        <v>-7.808685302734375E-3</v>
      </c>
      <c r="H112">
        <f t="shared" si="57"/>
        <v>0.2932551319648094</v>
      </c>
      <c r="I112">
        <f t="shared" si="58"/>
        <v>99.8046875</v>
      </c>
    </row>
    <row r="113" spans="1:9" x14ac:dyDescent="0.3">
      <c r="A113" s="38">
        <f t="shared" si="53"/>
        <v>10</v>
      </c>
      <c r="B113">
        <f t="shared" si="54"/>
        <v>1.998046875</v>
      </c>
      <c r="C113">
        <f t="shared" si="55"/>
        <v>2.00390625</v>
      </c>
      <c r="D113">
        <f t="shared" si="49"/>
        <v>2.0009765625</v>
      </c>
      <c r="E113">
        <f t="shared" si="50"/>
        <v>-7.808685302734375E-3</v>
      </c>
      <c r="F113">
        <f t="shared" si="51"/>
        <v>1.56402587890625E-2</v>
      </c>
      <c r="G113">
        <f t="shared" si="52"/>
        <v>3.9072036743164063E-3</v>
      </c>
      <c r="H113">
        <f t="shared" si="57"/>
        <v>0.14641288433382138</v>
      </c>
      <c r="I113">
        <f t="shared" si="58"/>
        <v>100.09765625</v>
      </c>
    </row>
    <row r="136" spans="1:6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</row>
    <row r="142" spans="1:61" x14ac:dyDescent="0.3">
      <c r="A142" s="14" t="s">
        <v>8</v>
      </c>
      <c r="B142" s="14" t="s">
        <v>42</v>
      </c>
      <c r="C142" s="14" t="s">
        <v>43</v>
      </c>
      <c r="D142" s="14" t="s">
        <v>44</v>
      </c>
      <c r="E142" s="14" t="s">
        <v>45</v>
      </c>
      <c r="F142" s="14" t="s">
        <v>46</v>
      </c>
      <c r="G142" s="14" t="s">
        <v>47</v>
      </c>
      <c r="H142" s="14" t="s">
        <v>48</v>
      </c>
      <c r="I142" s="14" t="s">
        <v>49</v>
      </c>
      <c r="K142" s="15" t="s">
        <v>14</v>
      </c>
      <c r="L142" s="15" t="s">
        <v>15</v>
      </c>
    </row>
    <row r="143" spans="1:61" x14ac:dyDescent="0.3">
      <c r="A143" s="6">
        <v>1</v>
      </c>
      <c r="B143" s="7">
        <v>3</v>
      </c>
      <c r="C143" s="7">
        <v>1</v>
      </c>
      <c r="D143" s="7">
        <f>( B143+C143)/2</f>
        <v>2</v>
      </c>
      <c r="E143" s="7">
        <f>((B143)^3)-25</f>
        <v>2</v>
      </c>
      <c r="F143" s="7">
        <f>((D143)^3)-25</f>
        <v>-17</v>
      </c>
      <c r="G143" s="7">
        <f>E143*F143</f>
        <v>-34</v>
      </c>
      <c r="H143" s="7"/>
      <c r="I143" s="7">
        <f>ABS(1-D143)*100</f>
        <v>100</v>
      </c>
      <c r="K143" s="6">
        <v>0</v>
      </c>
      <c r="L143" s="6">
        <f>((K143)^3)-25</f>
        <v>-25</v>
      </c>
    </row>
    <row r="144" spans="1:61" x14ac:dyDescent="0.3">
      <c r="A144" s="6">
        <v>2</v>
      </c>
      <c r="B144" s="7">
        <f>IF(G143&lt;0,B143,D143)</f>
        <v>3</v>
      </c>
      <c r="C144" s="7">
        <f>IF(G143&gt;0,C143,D143)</f>
        <v>2</v>
      </c>
      <c r="D144" s="7">
        <f>( B144+C144)/2</f>
        <v>2.5</v>
      </c>
      <c r="E144" s="7">
        <f>((B144)^3)-25</f>
        <v>2</v>
      </c>
      <c r="F144" s="7">
        <f>((D144)^3)-25</f>
        <v>-9.375</v>
      </c>
      <c r="G144" s="7">
        <f>E144*F144</f>
        <v>-18.75</v>
      </c>
      <c r="H144" s="7">
        <f>ABS((D144-D143)/D144)*100</f>
        <v>20</v>
      </c>
      <c r="I144" s="7">
        <f>ABS(1-D144)*100</f>
        <v>150</v>
      </c>
      <c r="K144" s="6">
        <v>0.2</v>
      </c>
      <c r="L144" s="6">
        <f t="shared" ref="L144:L153" si="59">((K144)^3)-25</f>
        <v>-24.992000000000001</v>
      </c>
    </row>
    <row r="145" spans="1:12" x14ac:dyDescent="0.3">
      <c r="A145" s="6">
        <v>3</v>
      </c>
      <c r="B145" s="7">
        <f t="shared" ref="B145:B156" si="60">IF(G144&lt;0,B144,D144)</f>
        <v>3</v>
      </c>
      <c r="C145" s="7">
        <f t="shared" ref="C145:C156" si="61">IF(G144&gt;0,C144,D144)</f>
        <v>2.5</v>
      </c>
      <c r="D145" s="7">
        <f t="shared" ref="D145:D156" si="62">( B145+C145)/2</f>
        <v>2.75</v>
      </c>
      <c r="E145" s="7">
        <f t="shared" ref="E145:E156" si="63">((B145)^3)-25</f>
        <v>2</v>
      </c>
      <c r="F145" s="7">
        <f t="shared" ref="F145:F156" si="64">((D145)^3)-25</f>
        <v>-4.203125</v>
      </c>
      <c r="G145" s="7">
        <f t="shared" ref="G145:G154" si="65">E145*F145</f>
        <v>-8.40625</v>
      </c>
      <c r="H145" s="7">
        <f t="shared" ref="H145:H156" si="66">ABS((D145-D144)/D145)*100</f>
        <v>9.0909090909090917</v>
      </c>
      <c r="I145" s="7">
        <f t="shared" ref="I145:I156" si="67">ABS(1-D145)*100</f>
        <v>175</v>
      </c>
      <c r="K145" s="6">
        <v>0.4</v>
      </c>
      <c r="L145" s="6">
        <f t="shared" si="59"/>
        <v>-24.936</v>
      </c>
    </row>
    <row r="146" spans="1:12" x14ac:dyDescent="0.3">
      <c r="A146" s="6">
        <v>4</v>
      </c>
      <c r="B146" s="7">
        <f t="shared" si="60"/>
        <v>3</v>
      </c>
      <c r="C146" s="7">
        <f t="shared" si="61"/>
        <v>2.75</v>
      </c>
      <c r="D146" s="7">
        <f t="shared" si="62"/>
        <v>2.875</v>
      </c>
      <c r="E146" s="7">
        <f t="shared" si="63"/>
        <v>2</v>
      </c>
      <c r="F146" s="7">
        <f t="shared" si="64"/>
        <v>-1.236328125</v>
      </c>
      <c r="G146" s="7">
        <f t="shared" si="65"/>
        <v>-2.47265625</v>
      </c>
      <c r="H146" s="7">
        <f t="shared" si="66"/>
        <v>4.3478260869565215</v>
      </c>
      <c r="I146" s="7">
        <f t="shared" si="67"/>
        <v>187.5</v>
      </c>
      <c r="K146" s="6">
        <v>0.6</v>
      </c>
      <c r="L146" s="6">
        <f t="shared" si="59"/>
        <v>-24.783999999999999</v>
      </c>
    </row>
    <row r="147" spans="1:12" x14ac:dyDescent="0.3">
      <c r="A147" s="6">
        <v>5</v>
      </c>
      <c r="B147" s="7">
        <f t="shared" si="60"/>
        <v>3</v>
      </c>
      <c r="C147" s="7">
        <f t="shared" si="61"/>
        <v>2.875</v>
      </c>
      <c r="D147" s="7">
        <f t="shared" si="62"/>
        <v>2.9375</v>
      </c>
      <c r="E147" s="7">
        <f t="shared" si="63"/>
        <v>2</v>
      </c>
      <c r="F147" s="7">
        <f t="shared" si="64"/>
        <v>0.347412109375</v>
      </c>
      <c r="G147" s="7">
        <f t="shared" si="65"/>
        <v>0.69482421875</v>
      </c>
      <c r="H147" s="7">
        <f t="shared" si="66"/>
        <v>2.1276595744680851</v>
      </c>
      <c r="I147" s="7">
        <f t="shared" si="67"/>
        <v>193.75</v>
      </c>
      <c r="K147" s="6">
        <v>0.8</v>
      </c>
      <c r="L147" s="6">
        <f t="shared" si="59"/>
        <v>-24.488</v>
      </c>
    </row>
    <row r="148" spans="1:12" x14ac:dyDescent="0.3">
      <c r="A148" s="6">
        <v>6</v>
      </c>
      <c r="B148" s="7">
        <f t="shared" si="60"/>
        <v>2.9375</v>
      </c>
      <c r="C148" s="7">
        <f t="shared" si="61"/>
        <v>2.875</v>
      </c>
      <c r="D148" s="7">
        <f t="shared" si="62"/>
        <v>2.90625</v>
      </c>
      <c r="E148" s="7">
        <f t="shared" si="63"/>
        <v>0.347412109375</v>
      </c>
      <c r="F148" s="7">
        <f t="shared" si="64"/>
        <v>-0.452972412109375</v>
      </c>
      <c r="G148" s="7">
        <f t="shared" si="65"/>
        <v>-0.15736810117959976</v>
      </c>
      <c r="H148" s="7">
        <f t="shared" si="66"/>
        <v>1.0752688172043012</v>
      </c>
      <c r="I148" s="7">
        <f t="shared" si="67"/>
        <v>190.625</v>
      </c>
      <c r="K148" s="6">
        <v>1</v>
      </c>
      <c r="L148" s="6">
        <f t="shared" si="59"/>
        <v>-24</v>
      </c>
    </row>
    <row r="149" spans="1:12" x14ac:dyDescent="0.3">
      <c r="A149" s="6">
        <v>7</v>
      </c>
      <c r="B149" s="7">
        <f t="shared" si="60"/>
        <v>2.9375</v>
      </c>
      <c r="C149" s="7">
        <f t="shared" si="61"/>
        <v>2.90625</v>
      </c>
      <c r="D149" s="7">
        <f t="shared" si="62"/>
        <v>2.921875</v>
      </c>
      <c r="E149" s="7">
        <f t="shared" si="63"/>
        <v>0.347412109375</v>
      </c>
      <c r="F149" s="7">
        <f t="shared" si="64"/>
        <v>-5.4920196533203125E-2</v>
      </c>
      <c r="G149" s="7">
        <f t="shared" si="65"/>
        <v>-1.907994132488966E-2</v>
      </c>
      <c r="H149" s="7">
        <f t="shared" si="66"/>
        <v>0.53475935828876997</v>
      </c>
      <c r="I149" s="7">
        <f t="shared" si="67"/>
        <v>192.1875</v>
      </c>
      <c r="K149" s="6">
        <v>1.2</v>
      </c>
      <c r="L149" s="6">
        <f t="shared" si="59"/>
        <v>-23.271999999999998</v>
      </c>
    </row>
    <row r="150" spans="1:12" x14ac:dyDescent="0.3">
      <c r="A150" s="6">
        <v>8</v>
      </c>
      <c r="B150" s="7">
        <f t="shared" si="60"/>
        <v>2.9375</v>
      </c>
      <c r="C150" s="7">
        <f t="shared" si="61"/>
        <v>2.921875</v>
      </c>
      <c r="D150" s="7">
        <f t="shared" si="62"/>
        <v>2.9296875</v>
      </c>
      <c r="E150" s="7">
        <f t="shared" si="63"/>
        <v>0.347412109375</v>
      </c>
      <c r="F150" s="7">
        <f t="shared" si="64"/>
        <v>0.14570951461791992</v>
      </c>
      <c r="G150" s="7">
        <f t="shared" si="65"/>
        <v>5.0621249829418957E-2</v>
      </c>
      <c r="H150" s="7">
        <f t="shared" si="66"/>
        <v>0.26666666666666666</v>
      </c>
      <c r="I150" s="7">
        <f t="shared" si="67"/>
        <v>192.96875</v>
      </c>
      <c r="K150" s="6">
        <v>1.4</v>
      </c>
      <c r="L150" s="6">
        <f t="shared" si="59"/>
        <v>-22.256</v>
      </c>
    </row>
    <row r="151" spans="1:12" x14ac:dyDescent="0.3">
      <c r="A151" s="6">
        <v>9</v>
      </c>
      <c r="B151" s="7">
        <f t="shared" si="60"/>
        <v>2.9296875</v>
      </c>
      <c r="C151" s="7">
        <f t="shared" si="61"/>
        <v>2.921875</v>
      </c>
      <c r="D151" s="7">
        <f t="shared" si="62"/>
        <v>2.92578125</v>
      </c>
      <c r="E151" s="7">
        <f t="shared" si="63"/>
        <v>0.14570951461791992</v>
      </c>
      <c r="F151" s="7">
        <f t="shared" si="64"/>
        <v>4.5260727405548096E-2</v>
      </c>
      <c r="G151" s="7">
        <f t="shared" si="65"/>
        <v>6.5949186215163991E-3</v>
      </c>
      <c r="H151" s="7">
        <f t="shared" si="66"/>
        <v>0.13351134846461948</v>
      </c>
      <c r="I151" s="7">
        <f t="shared" si="67"/>
        <v>192.578125</v>
      </c>
      <c r="K151" s="6">
        <v>1.6</v>
      </c>
      <c r="L151" s="6">
        <f t="shared" si="59"/>
        <v>-20.904</v>
      </c>
    </row>
    <row r="152" spans="1:12" x14ac:dyDescent="0.3">
      <c r="A152" s="6">
        <v>10</v>
      </c>
      <c r="B152" s="7">
        <f t="shared" si="60"/>
        <v>2.92578125</v>
      </c>
      <c r="C152" s="7">
        <f t="shared" si="61"/>
        <v>2.921875</v>
      </c>
      <c r="D152" s="7">
        <f t="shared" si="62"/>
        <v>2.923828125</v>
      </c>
      <c r="E152" s="7">
        <f t="shared" si="63"/>
        <v>4.5260727405548096E-2</v>
      </c>
      <c r="F152" s="7">
        <f t="shared" si="64"/>
        <v>-4.8631951212882996E-3</v>
      </c>
      <c r="G152" s="7">
        <f t="shared" si="65"/>
        <v>-2.2011174870462114E-4</v>
      </c>
      <c r="H152" s="7">
        <f t="shared" si="66"/>
        <v>6.6800267201068811E-2</v>
      </c>
      <c r="I152" s="7">
        <f t="shared" si="67"/>
        <v>192.3828125</v>
      </c>
      <c r="K152" s="6">
        <v>1.8</v>
      </c>
      <c r="L152" s="6">
        <f t="shared" si="59"/>
        <v>-19.167999999999999</v>
      </c>
    </row>
    <row r="153" spans="1:12" x14ac:dyDescent="0.3">
      <c r="A153" s="6">
        <v>11</v>
      </c>
      <c r="B153" s="7">
        <f t="shared" si="60"/>
        <v>2.92578125</v>
      </c>
      <c r="C153" s="7">
        <f t="shared" si="61"/>
        <v>2.923828125</v>
      </c>
      <c r="D153" s="7">
        <f t="shared" si="62"/>
        <v>2.9248046875</v>
      </c>
      <c r="E153" s="7">
        <f t="shared" si="63"/>
        <v>4.5260727405548096E-2</v>
      </c>
      <c r="F153" s="7">
        <f t="shared" si="64"/>
        <v>2.0190398208796978E-2</v>
      </c>
      <c r="G153" s="7">
        <f t="shared" si="65"/>
        <v>9.1383210953782656E-4</v>
      </c>
      <c r="H153" s="7">
        <f t="shared" si="66"/>
        <v>3.3388981636060099E-2</v>
      </c>
      <c r="I153" s="7">
        <f t="shared" si="67"/>
        <v>192.48046875</v>
      </c>
      <c r="K153" s="6">
        <v>2</v>
      </c>
      <c r="L153" s="6">
        <f t="shared" si="59"/>
        <v>-17</v>
      </c>
    </row>
    <row r="154" spans="1:12" x14ac:dyDescent="0.3">
      <c r="A154" s="6">
        <v>12</v>
      </c>
      <c r="B154" s="7">
        <f t="shared" si="60"/>
        <v>2.9248046875</v>
      </c>
      <c r="C154" s="7">
        <f t="shared" si="61"/>
        <v>2.923828125</v>
      </c>
      <c r="D154" s="7">
        <f t="shared" si="62"/>
        <v>2.92431640625</v>
      </c>
      <c r="E154" s="7">
        <f t="shared" si="63"/>
        <v>2.0190398208796978E-2</v>
      </c>
      <c r="F154" s="7">
        <f t="shared" si="64"/>
        <v>7.6615099096670747E-3</v>
      </c>
      <c r="G154" s="7">
        <f t="shared" si="65"/>
        <v>1.546889359568224E-4</v>
      </c>
      <c r="H154" s="7">
        <f t="shared" si="66"/>
        <v>1.6697278343629988E-2</v>
      </c>
      <c r="I154" s="7">
        <f t="shared" si="67"/>
        <v>192.431640625</v>
      </c>
    </row>
    <row r="155" spans="1:12" x14ac:dyDescent="0.3">
      <c r="A155" s="6">
        <v>13</v>
      </c>
      <c r="B155" s="7">
        <f t="shared" si="60"/>
        <v>2.92431640625</v>
      </c>
      <c r="C155" s="7">
        <f t="shared" si="61"/>
        <v>2.923828125</v>
      </c>
      <c r="D155" s="7">
        <f t="shared" si="62"/>
        <v>2.924072265625</v>
      </c>
      <c r="E155" s="7">
        <f t="shared" si="63"/>
        <v>7.6615099096670747E-3</v>
      </c>
      <c r="F155" s="7">
        <f t="shared" si="64"/>
        <v>1.3986345293233171E-3</v>
      </c>
      <c r="G155" s="7">
        <f>E155*F155</f>
        <v>1.0715652306413139E-5</v>
      </c>
      <c r="H155" s="7">
        <f t="shared" si="66"/>
        <v>8.3493362277698921E-3</v>
      </c>
      <c r="I155" s="7">
        <f t="shared" si="67"/>
        <v>192.4072265625</v>
      </c>
    </row>
    <row r="156" spans="1:12" x14ac:dyDescent="0.3">
      <c r="A156" s="18">
        <v>14</v>
      </c>
      <c r="B156" s="12">
        <f t="shared" si="60"/>
        <v>2.924072265625</v>
      </c>
      <c r="C156" s="12">
        <f t="shared" si="61"/>
        <v>2.923828125</v>
      </c>
      <c r="D156" s="12">
        <f t="shared" si="62"/>
        <v>2.9239501953125</v>
      </c>
      <c r="E156" s="12">
        <f t="shared" si="63"/>
        <v>1.3986345293233171E-3</v>
      </c>
      <c r="F156" s="12">
        <f t="shared" si="64"/>
        <v>-1.7324110067420406E-3</v>
      </c>
      <c r="G156" s="12">
        <f>E156*F156</f>
        <v>-2.4230098530091878E-6</v>
      </c>
      <c r="H156" s="12">
        <f t="shared" si="66"/>
        <v>4.1748423996994114E-3</v>
      </c>
      <c r="I156" s="12">
        <f t="shared" si="67"/>
        <v>192.39501953125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>
    <tabColor theme="7" tint="0.39997558519241921"/>
  </sheetPr>
  <dimension ref="A1:DE144"/>
  <sheetViews>
    <sheetView topLeftCell="A77" zoomScale="33" zoomScaleNormal="130" workbookViewId="0">
      <selection activeCell="N1" sqref="N1"/>
    </sheetView>
  </sheetViews>
  <sheetFormatPr baseColWidth="10" defaultRowHeight="14.4" x14ac:dyDescent="0.3"/>
  <cols>
    <col min="1" max="3" width="11.6640625" bestFit="1" customWidth="1"/>
    <col min="4" max="5" width="15.109375" bestFit="1" customWidth="1"/>
    <col min="6" max="6" width="29.77734375" customWidth="1"/>
    <col min="7" max="7" width="14.109375" bestFit="1" customWidth="1"/>
    <col min="8" max="9" width="14.109375" customWidth="1"/>
    <col min="21" max="21" width="11.5546875" customWidth="1"/>
  </cols>
  <sheetData>
    <row r="1" spans="1:109" ht="23.4" x14ac:dyDescent="0.45">
      <c r="B1" s="1" t="s">
        <v>53</v>
      </c>
    </row>
    <row r="3" spans="1:109" x14ac:dyDescent="0.3">
      <c r="F3" s="2" t="s">
        <v>1</v>
      </c>
      <c r="G3" s="2" t="s">
        <v>2</v>
      </c>
      <c r="H3" s="2"/>
      <c r="I3" s="2"/>
    </row>
    <row r="4" spans="1:109" x14ac:dyDescent="0.3">
      <c r="F4" s="19">
        <v>1</v>
      </c>
      <c r="G4" s="20" t="s">
        <v>31</v>
      </c>
      <c r="H4" s="20"/>
      <c r="I4" s="20"/>
    </row>
    <row r="5" spans="1:109" x14ac:dyDescent="0.3">
      <c r="F5" s="19">
        <v>2</v>
      </c>
      <c r="G5" s="20" t="s">
        <v>54</v>
      </c>
      <c r="H5" s="20"/>
      <c r="I5" s="20"/>
    </row>
    <row r="6" spans="1:109" x14ac:dyDescent="0.3">
      <c r="F6" s="19">
        <v>3</v>
      </c>
      <c r="G6" s="20" t="s">
        <v>55</v>
      </c>
      <c r="H6" s="20"/>
      <c r="I6" s="20"/>
    </row>
    <row r="7" spans="1:109" x14ac:dyDescent="0.3">
      <c r="F7" s="19">
        <v>4</v>
      </c>
      <c r="G7" s="3" t="s">
        <v>56</v>
      </c>
      <c r="H7" s="3"/>
      <c r="I7" s="3"/>
    </row>
    <row r="8" spans="1:109" x14ac:dyDescent="0.3">
      <c r="F8" s="19">
        <v>5</v>
      </c>
      <c r="G8" s="3" t="s">
        <v>38</v>
      </c>
      <c r="H8" s="3"/>
      <c r="I8" s="3"/>
    </row>
    <row r="9" spans="1:109" x14ac:dyDescent="0.3">
      <c r="F9" s="19">
        <v>6</v>
      </c>
      <c r="G9" s="3" t="s">
        <v>52</v>
      </c>
      <c r="H9" s="3"/>
      <c r="I9" s="3"/>
    </row>
    <row r="10" spans="1:109" x14ac:dyDescent="0.3">
      <c r="F10" s="19">
        <v>7</v>
      </c>
      <c r="G10" s="3" t="s">
        <v>39</v>
      </c>
      <c r="H10" s="3"/>
      <c r="I10" s="3"/>
    </row>
    <row r="11" spans="1:109" x14ac:dyDescent="0.3">
      <c r="F11" s="19">
        <v>8</v>
      </c>
      <c r="G11" s="3" t="s">
        <v>40</v>
      </c>
      <c r="H11" s="3"/>
      <c r="I11" s="3"/>
    </row>
    <row r="12" spans="1:109" x14ac:dyDescent="0.3">
      <c r="F12" s="19">
        <v>9</v>
      </c>
      <c r="G12" s="3" t="s">
        <v>51</v>
      </c>
      <c r="H12" s="3"/>
      <c r="I12" s="3"/>
      <c r="J12" s="3"/>
      <c r="K12" s="3"/>
      <c r="L12" s="3"/>
    </row>
    <row r="13" spans="1:109" x14ac:dyDescent="0.3">
      <c r="F13" s="19"/>
    </row>
    <row r="15" spans="1:109" x14ac:dyDescent="0.3"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109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</row>
    <row r="18" spans="1:22" x14ac:dyDescent="0.3">
      <c r="D18" t="s">
        <v>29</v>
      </c>
    </row>
    <row r="19" spans="1:22" x14ac:dyDescent="0.3">
      <c r="D19">
        <f>EXP(1)</f>
        <v>2.7182818284590451</v>
      </c>
    </row>
    <row r="23" spans="1:22" x14ac:dyDescent="0.3">
      <c r="A23" s="32" t="s">
        <v>57</v>
      </c>
      <c r="B23" s="32" t="s">
        <v>42</v>
      </c>
      <c r="C23" s="32" t="s">
        <v>43</v>
      </c>
      <c r="D23" s="32" t="s">
        <v>45</v>
      </c>
      <c r="E23" s="32" t="s">
        <v>58</v>
      </c>
      <c r="F23" s="32" t="s">
        <v>59</v>
      </c>
      <c r="G23" s="32" t="s">
        <v>46</v>
      </c>
      <c r="H23" s="32" t="s">
        <v>60</v>
      </c>
      <c r="I23" s="32" t="s">
        <v>61</v>
      </c>
      <c r="V23" s="21"/>
    </row>
    <row r="24" spans="1:22" x14ac:dyDescent="0.3">
      <c r="A24" s="6">
        <v>1</v>
      </c>
      <c r="B24" s="6">
        <v>2</v>
      </c>
      <c r="C24" s="6">
        <v>11</v>
      </c>
      <c r="D24" s="6">
        <f>PI()*(1-EXP(-B24))/B24-0.5</f>
        <v>0.85821216100107844</v>
      </c>
      <c r="E24" s="6">
        <f>PI()*(1-EXP(-C24))/C24-0.5</f>
        <v>-0.21440543785006477</v>
      </c>
      <c r="F24" s="6">
        <f>C24-(E24*(C24-B24))/(E24-D24)</f>
        <v>9.2009907885928897</v>
      </c>
      <c r="G24" s="6">
        <f>PI()*(1-EXP(-F24))/F24-0.5</f>
        <v>-0.15859377370677497</v>
      </c>
      <c r="H24" s="6">
        <f>D24*G24</f>
        <v>-0.13610710525420736</v>
      </c>
      <c r="I24" s="6"/>
      <c r="L24" s="32" t="s">
        <v>14</v>
      </c>
      <c r="M24" s="32" t="s">
        <v>15</v>
      </c>
    </row>
    <row r="25" spans="1:22" x14ac:dyDescent="0.3">
      <c r="A25" s="6">
        <v>2</v>
      </c>
      <c r="B25" s="6">
        <f>IF(H24&lt;0,B24,F24)</f>
        <v>2</v>
      </c>
      <c r="C25" s="6">
        <f>IF(H24&gt;0,C24,F24)</f>
        <v>9.2009907885928897</v>
      </c>
      <c r="D25" s="6">
        <f>PI()*(1-EXP(-B25))/B25-0.5</f>
        <v>0.85821216100107844</v>
      </c>
      <c r="E25" s="6">
        <f>PI()*(1-EXP(-C25))/C25-0.5</f>
        <v>-0.15859377370677497</v>
      </c>
      <c r="F25" s="6">
        <f>C25-(E25*(C25-B25))/(E25-D25)</f>
        <v>8.0778341816059349</v>
      </c>
      <c r="G25" s="6">
        <f>PI()*(1-EXP(-F25))/F25-0.5</f>
        <v>-0.11120547743237907</v>
      </c>
      <c r="H25" s="6">
        <f>D25*G25</f>
        <v>-9.543789310239871E-2</v>
      </c>
      <c r="I25" s="6">
        <f>ABS((F25-F24)/F25*100)</f>
        <v>13.904180028162729</v>
      </c>
      <c r="L25" s="6">
        <v>-1</v>
      </c>
      <c r="M25" s="6">
        <f>PI()*(1-EXP(-L25))/L25-0.5</f>
        <v>4.8981415690837729</v>
      </c>
    </row>
    <row r="26" spans="1:22" x14ac:dyDescent="0.3">
      <c r="A26" s="6">
        <v>3</v>
      </c>
      <c r="B26" s="6">
        <f t="shared" ref="B26:B43" si="0">IF(H25&lt;0,B25,F25)</f>
        <v>2</v>
      </c>
      <c r="C26" s="6">
        <f t="shared" ref="C26:C43" si="1">IF(H25&gt;0,C25,F25)</f>
        <v>8.0778341816059349</v>
      </c>
      <c r="D26" s="6">
        <f t="shared" ref="D26:D43" si="2">PI()*(1-EXP(-B26))/B26-0.5</f>
        <v>0.85821216100107844</v>
      </c>
      <c r="E26" s="6">
        <f t="shared" ref="E26:E43" si="3">PI()*(1-EXP(-C26))/C26-0.5</f>
        <v>-0.11120547743237907</v>
      </c>
      <c r="F26" s="6">
        <f t="shared" ref="F26:F43" si="4">C26-(E26*(C26-B26))/(E26-D26)</f>
        <v>7.3806233767638325</v>
      </c>
      <c r="G26" s="6">
        <f t="shared" ref="G26:G43" si="5">PI()*(1-EXP(-F26))/F26-0.5</f>
        <v>-7.4611165719579597E-2</v>
      </c>
      <c r="H26" s="6">
        <f t="shared" ref="H26:H43" si="6">D26*G26</f>
        <v>-6.403220976700999E-2</v>
      </c>
      <c r="I26" s="6">
        <f t="shared" ref="I26:I43" si="7">ABS((F26-F25)/F26*100)</f>
        <v>9.4465029476657438</v>
      </c>
      <c r="L26" s="6">
        <v>-0.5</v>
      </c>
      <c r="M26" s="6">
        <f t="shared" ref="M26" si="8">PI()*(1-EXP(-L26))/L26-0.5</f>
        <v>3.5760359565179165</v>
      </c>
    </row>
    <row r="27" spans="1:22" x14ac:dyDescent="0.3">
      <c r="A27" s="6">
        <v>4</v>
      </c>
      <c r="B27" s="6">
        <f t="shared" si="0"/>
        <v>2</v>
      </c>
      <c r="C27" s="6">
        <f t="shared" si="1"/>
        <v>7.3806233767638325</v>
      </c>
      <c r="D27" s="6">
        <f t="shared" si="2"/>
        <v>0.85821216100107844</v>
      </c>
      <c r="E27" s="6">
        <f t="shared" si="3"/>
        <v>-7.4611165719579597E-2</v>
      </c>
      <c r="F27" s="6">
        <f t="shared" si="4"/>
        <v>6.9502583001853075</v>
      </c>
      <c r="G27" s="6">
        <f t="shared" si="5"/>
        <v>-4.8422280916263938E-2</v>
      </c>
      <c r="H27" s="6">
        <f t="shared" si="6"/>
        <v>-4.1556590345748157E-2</v>
      </c>
      <c r="I27" s="6">
        <f t="shared" si="7"/>
        <v>6.1920731286641617</v>
      </c>
      <c r="L27" s="6">
        <v>0.1</v>
      </c>
      <c r="M27" s="6">
        <f t="shared" ref="M27:M38" si="9">PI()*(1-EXP(-L27))/L27-0.5</f>
        <v>2.4896206839486608</v>
      </c>
    </row>
    <row r="28" spans="1:22" x14ac:dyDescent="0.3">
      <c r="A28" s="6">
        <v>5</v>
      </c>
      <c r="B28" s="6">
        <f t="shared" si="0"/>
        <v>2</v>
      </c>
      <c r="C28" s="6">
        <f t="shared" si="1"/>
        <v>6.9502583001853075</v>
      </c>
      <c r="D28" s="6">
        <f t="shared" si="2"/>
        <v>0.85821216100107844</v>
      </c>
      <c r="E28" s="6">
        <f t="shared" si="3"/>
        <v>-4.8422280916263938E-2</v>
      </c>
      <c r="F28" s="6">
        <f t="shared" si="4"/>
        <v>6.6858708172735408</v>
      </c>
      <c r="G28" s="6">
        <f t="shared" si="5"/>
        <v>-3.0701281875169073E-2</v>
      </c>
      <c r="H28" s="6">
        <f t="shared" si="6"/>
        <v>-2.6348213463592091E-2</v>
      </c>
      <c r="I28" s="6">
        <f t="shared" si="7"/>
        <v>3.954421049068106</v>
      </c>
      <c r="L28" s="6">
        <v>0.2</v>
      </c>
      <c r="M28" s="6">
        <f t="shared" si="9"/>
        <v>2.3473706722598324</v>
      </c>
    </row>
    <row r="29" spans="1:22" x14ac:dyDescent="0.3">
      <c r="A29" s="6">
        <v>6</v>
      </c>
      <c r="B29" s="6">
        <f t="shared" si="0"/>
        <v>2</v>
      </c>
      <c r="C29" s="6">
        <f t="shared" si="1"/>
        <v>6.6858708172735408</v>
      </c>
      <c r="D29" s="6">
        <f t="shared" si="2"/>
        <v>0.85821216100107844</v>
      </c>
      <c r="E29" s="6">
        <f t="shared" si="3"/>
        <v>-3.0701281875169073E-2</v>
      </c>
      <c r="F29" s="6">
        <f t="shared" si="4"/>
        <v>6.5240302669425096</v>
      </c>
      <c r="G29" s="6">
        <f t="shared" si="5"/>
        <v>-1.9165074584692854E-2</v>
      </c>
      <c r="H29" s="6">
        <f t="shared" si="6"/>
        <v>-1.6447700075076101E-2</v>
      </c>
      <c r="I29" s="6">
        <f t="shared" si="7"/>
        <v>2.4806836220715121</v>
      </c>
      <c r="L29" s="6">
        <v>0.3</v>
      </c>
      <c r="M29" s="6">
        <f t="shared" si="9"/>
        <v>2.2141452461688202</v>
      </c>
    </row>
    <row r="30" spans="1:22" x14ac:dyDescent="0.3">
      <c r="A30" s="25">
        <v>7</v>
      </c>
      <c r="B30" s="6">
        <f t="shared" si="0"/>
        <v>2</v>
      </c>
      <c r="C30" s="6">
        <f t="shared" si="1"/>
        <v>6.5240302669425096</v>
      </c>
      <c r="D30" s="6">
        <f t="shared" si="2"/>
        <v>0.85821216100107844</v>
      </c>
      <c r="E30" s="6">
        <f t="shared" si="3"/>
        <v>-1.9165074584692854E-2</v>
      </c>
      <c r="F30" s="6">
        <f t="shared" si="4"/>
        <v>6.4252091738337116</v>
      </c>
      <c r="G30" s="6">
        <f t="shared" si="5"/>
        <v>-1.184427182131409E-2</v>
      </c>
      <c r="H30" s="6">
        <f t="shared" si="6"/>
        <v>-1.0164898115254143E-2</v>
      </c>
      <c r="I30" s="6">
        <f t="shared" si="7"/>
        <v>1.5380214158823213</v>
      </c>
      <c r="L30" s="6">
        <v>0.4</v>
      </c>
      <c r="M30" s="6">
        <f t="shared" si="9"/>
        <v>2.0893003035256417</v>
      </c>
    </row>
    <row r="31" spans="1:22" x14ac:dyDescent="0.3">
      <c r="A31" s="6">
        <v>8</v>
      </c>
      <c r="B31" s="6">
        <f t="shared" si="0"/>
        <v>2</v>
      </c>
      <c r="C31" s="6">
        <f t="shared" si="1"/>
        <v>6.4252091738337116</v>
      </c>
      <c r="D31" s="6">
        <f t="shared" si="2"/>
        <v>0.85821216100107844</v>
      </c>
      <c r="E31" s="6">
        <f t="shared" si="3"/>
        <v>-1.184427182131409E-2</v>
      </c>
      <c r="F31" s="6">
        <f t="shared" si="4"/>
        <v>6.3649678166713555</v>
      </c>
      <c r="G31" s="6">
        <f t="shared" si="5"/>
        <v>-7.2737677217854513E-3</v>
      </c>
      <c r="H31" s="6">
        <f t="shared" si="6"/>
        <v>-6.2424359151333833E-3</v>
      </c>
      <c r="I31" s="6">
        <f t="shared" si="7"/>
        <v>0.94645187371678097</v>
      </c>
      <c r="L31" s="6">
        <v>0.5</v>
      </c>
      <c r="M31" s="6">
        <f t="shared" si="9"/>
        <v>1.9722407777192266</v>
      </c>
    </row>
    <row r="32" spans="1:22" x14ac:dyDescent="0.3">
      <c r="A32" s="6">
        <v>9</v>
      </c>
      <c r="B32" s="6">
        <f t="shared" si="0"/>
        <v>2</v>
      </c>
      <c r="C32" s="6">
        <f t="shared" si="1"/>
        <v>6.3649678166713555</v>
      </c>
      <c r="D32" s="6">
        <f t="shared" si="2"/>
        <v>0.85821216100107844</v>
      </c>
      <c r="E32" s="6">
        <f t="shared" si="3"/>
        <v>-7.2737677217854513E-3</v>
      </c>
      <c r="F32" s="6">
        <f t="shared" si="4"/>
        <v>6.3282834975416531</v>
      </c>
      <c r="G32" s="6">
        <f t="shared" si="5"/>
        <v>-4.449411495327793E-3</v>
      </c>
      <c r="H32" s="6">
        <f t="shared" si="6"/>
        <v>-3.8185390545883049E-3</v>
      </c>
      <c r="I32" s="6">
        <f t="shared" si="7"/>
        <v>0.57968830163745244</v>
      </c>
      <c r="L32" s="6">
        <v>0.6</v>
      </c>
      <c r="M32" s="6">
        <f t="shared" si="9"/>
        <v>1.8624167490536747</v>
      </c>
    </row>
    <row r="33" spans="1:71" x14ac:dyDescent="0.3">
      <c r="A33" s="6">
        <v>10</v>
      </c>
      <c r="B33" s="6">
        <f t="shared" si="0"/>
        <v>2</v>
      </c>
      <c r="C33" s="6">
        <f t="shared" si="1"/>
        <v>6.3282834975416531</v>
      </c>
      <c r="D33" s="6">
        <f t="shared" si="2"/>
        <v>0.85821216100107844</v>
      </c>
      <c r="E33" s="6">
        <f t="shared" si="3"/>
        <v>-4.449411495327793E-3</v>
      </c>
      <c r="F33" s="6">
        <f t="shared" si="4"/>
        <v>6.3059591991574457</v>
      </c>
      <c r="G33" s="6">
        <f t="shared" si="5"/>
        <v>-2.7151446945170021E-3</v>
      </c>
      <c r="H33" s="6">
        <f t="shared" si="6"/>
        <v>-2.3301701957120493E-3</v>
      </c>
      <c r="I33" s="6">
        <f t="shared" si="7"/>
        <v>0.35401907432560231</v>
      </c>
      <c r="L33" s="6">
        <v>0.7</v>
      </c>
      <c r="M33" s="6">
        <f t="shared" si="9"/>
        <v>1.7593198733114934</v>
      </c>
      <c r="O33" s="22"/>
      <c r="P33" s="22"/>
    </row>
    <row r="34" spans="1:71" x14ac:dyDescent="0.3">
      <c r="A34" s="6">
        <v>11</v>
      </c>
      <c r="B34" s="6">
        <f t="shared" si="0"/>
        <v>2</v>
      </c>
      <c r="C34" s="6">
        <f t="shared" si="1"/>
        <v>6.3059591991574457</v>
      </c>
      <c r="D34" s="6">
        <f t="shared" si="2"/>
        <v>0.85821216100107844</v>
      </c>
      <c r="E34" s="6">
        <f t="shared" si="3"/>
        <v>-2.7151446945170021E-3</v>
      </c>
      <c r="F34" s="6">
        <f t="shared" si="4"/>
        <v>6.2923793043195735</v>
      </c>
      <c r="G34" s="6">
        <f t="shared" si="5"/>
        <v>-1.6543903031112084E-3</v>
      </c>
      <c r="H34" s="6">
        <f t="shared" si="6"/>
        <v>-1.4198178771722993E-3</v>
      </c>
      <c r="I34" s="6">
        <f t="shared" si="7"/>
        <v>0.21581494345946323</v>
      </c>
      <c r="L34" s="6">
        <v>0.8</v>
      </c>
      <c r="M34" s="6">
        <f t="shared" si="9"/>
        <v>1.6624801010925223</v>
      </c>
      <c r="O34" s="22"/>
      <c r="P34" s="22"/>
    </row>
    <row r="35" spans="1:71" x14ac:dyDescent="0.3">
      <c r="A35" s="6">
        <v>12</v>
      </c>
      <c r="B35" s="6">
        <f t="shared" si="0"/>
        <v>2</v>
      </c>
      <c r="C35" s="6">
        <f t="shared" si="1"/>
        <v>6.2923793043195735</v>
      </c>
      <c r="D35" s="6">
        <f t="shared" si="2"/>
        <v>0.85821216100107844</v>
      </c>
      <c r="E35" s="6">
        <f t="shared" si="3"/>
        <v>-1.6543903031112084E-3</v>
      </c>
      <c r="F35" s="6">
        <f t="shared" si="4"/>
        <v>6.2841207313031315</v>
      </c>
      <c r="G35" s="6">
        <f t="shared" si="5"/>
        <v>-1.007137095397681E-3</v>
      </c>
      <c r="H35" s="6">
        <f t="shared" si="6"/>
        <v>-8.6433730306559309E-4</v>
      </c>
      <c r="I35" s="6">
        <f t="shared" si="7"/>
        <v>0.13141970642453552</v>
      </c>
      <c r="L35" s="6">
        <v>0.9</v>
      </c>
      <c r="M35" s="6">
        <f t="shared" si="9"/>
        <v>1.5714626637513613</v>
      </c>
      <c r="O35" s="22"/>
      <c r="P35" s="22"/>
    </row>
    <row r="36" spans="1:71" x14ac:dyDescent="0.3">
      <c r="A36" s="6">
        <v>13</v>
      </c>
      <c r="B36" s="6">
        <f t="shared" si="0"/>
        <v>2</v>
      </c>
      <c r="C36" s="6">
        <f t="shared" si="1"/>
        <v>6.2841207313031315</v>
      </c>
      <c r="D36" s="6">
        <f t="shared" si="2"/>
        <v>0.85821216100107844</v>
      </c>
      <c r="E36" s="6">
        <f t="shared" si="3"/>
        <v>-1.007137095397681E-3</v>
      </c>
      <c r="F36" s="6">
        <f t="shared" si="4"/>
        <v>6.2790990832567983</v>
      </c>
      <c r="G36" s="6">
        <f t="shared" si="5"/>
        <v>-6.1277171002760422E-4</v>
      </c>
      <c r="H36" s="6">
        <f t="shared" si="6"/>
        <v>-5.2588813346311639E-4</v>
      </c>
      <c r="I36" s="6">
        <f t="shared" si="7"/>
        <v>7.9974021428064673E-2</v>
      </c>
      <c r="L36" s="6">
        <v>1</v>
      </c>
      <c r="M36" s="6">
        <f t="shared" si="9"/>
        <v>1.4858653037988714</v>
      </c>
      <c r="O36" s="22"/>
      <c r="P36" s="22"/>
    </row>
    <row r="37" spans="1:71" x14ac:dyDescent="0.3">
      <c r="A37" s="27">
        <v>14</v>
      </c>
      <c r="B37" s="6">
        <f t="shared" si="0"/>
        <v>2</v>
      </c>
      <c r="C37" s="6">
        <f t="shared" si="1"/>
        <v>6.2790990832567983</v>
      </c>
      <c r="D37" s="6">
        <f t="shared" si="2"/>
        <v>0.85821216100107844</v>
      </c>
      <c r="E37" s="6">
        <f t="shared" si="3"/>
        <v>-6.1277171002760422E-4</v>
      </c>
      <c r="F37" s="6">
        <f t="shared" si="4"/>
        <v>6.2760459454603126</v>
      </c>
      <c r="G37" s="6">
        <f t="shared" si="5"/>
        <v>-3.7270252793392133E-4</v>
      </c>
      <c r="H37" s="6">
        <f t="shared" si="6"/>
        <v>-3.1985784190873543E-4</v>
      </c>
      <c r="I37" s="6">
        <f t="shared" si="7"/>
        <v>4.8647473632569452E-2</v>
      </c>
      <c r="L37" s="6">
        <v>1.5</v>
      </c>
      <c r="M37" s="6">
        <f t="shared" si="9"/>
        <v>1.1270723877821147</v>
      </c>
      <c r="O37" s="22"/>
      <c r="P37" s="22"/>
    </row>
    <row r="38" spans="1:71" x14ac:dyDescent="0.3">
      <c r="A38" s="25">
        <v>15</v>
      </c>
      <c r="B38" s="26">
        <f t="shared" si="0"/>
        <v>2</v>
      </c>
      <c r="C38" s="6">
        <f t="shared" si="1"/>
        <v>6.2760459454603126</v>
      </c>
      <c r="D38" s="6">
        <f t="shared" si="2"/>
        <v>0.85821216100107844</v>
      </c>
      <c r="E38" s="6">
        <f t="shared" si="3"/>
        <v>-3.7270252793392133E-4</v>
      </c>
      <c r="F38" s="6">
        <f t="shared" si="4"/>
        <v>6.2741897595419118</v>
      </c>
      <c r="G38" s="6">
        <f t="shared" si="5"/>
        <v>-2.2664013402484695E-4</v>
      </c>
      <c r="H38" s="6">
        <f t="shared" si="6"/>
        <v>-1.9450531919103795E-4</v>
      </c>
      <c r="I38" s="6">
        <f t="shared" si="7"/>
        <v>2.9584472091839911E-2</v>
      </c>
      <c r="L38" s="6">
        <v>2</v>
      </c>
      <c r="M38" s="6">
        <f t="shared" si="9"/>
        <v>0.85821216100107844</v>
      </c>
      <c r="O38" s="22"/>
      <c r="P38" s="22"/>
    </row>
    <row r="39" spans="1:71" x14ac:dyDescent="0.3">
      <c r="A39" s="28">
        <v>16</v>
      </c>
      <c r="B39" s="6">
        <f t="shared" si="0"/>
        <v>2</v>
      </c>
      <c r="C39" s="6">
        <f t="shared" si="1"/>
        <v>6.2741897595419118</v>
      </c>
      <c r="D39" s="6">
        <f t="shared" si="2"/>
        <v>0.85821216100107844</v>
      </c>
      <c r="E39" s="6">
        <f t="shared" si="3"/>
        <v>-2.2664013402484695E-4</v>
      </c>
      <c r="F39" s="6">
        <f t="shared" si="4"/>
        <v>6.2730613122505394</v>
      </c>
      <c r="G39" s="6">
        <f t="shared" si="5"/>
        <v>-1.3780248965777897E-4</v>
      </c>
      <c r="H39" s="6">
        <f t="shared" si="6"/>
        <v>-1.1826377244053126E-4</v>
      </c>
      <c r="I39" s="6">
        <f t="shared" si="7"/>
        <v>1.7988781476895185E-2</v>
      </c>
      <c r="O39" s="22"/>
      <c r="P39" s="22"/>
    </row>
    <row r="40" spans="1:71" x14ac:dyDescent="0.3">
      <c r="A40" s="6">
        <v>17</v>
      </c>
      <c r="B40" s="6">
        <f t="shared" si="0"/>
        <v>2</v>
      </c>
      <c r="C40" s="6">
        <f t="shared" si="1"/>
        <v>6.2730613122505394</v>
      </c>
      <c r="D40" s="6">
        <f t="shared" si="2"/>
        <v>0.85821216100107844</v>
      </c>
      <c r="E40" s="6">
        <f t="shared" si="3"/>
        <v>-1.3780248965777897E-4</v>
      </c>
      <c r="F40" s="6">
        <f t="shared" si="4"/>
        <v>6.2723753001198999</v>
      </c>
      <c r="G40" s="6">
        <f t="shared" si="5"/>
        <v>-8.3780765875451912E-5</v>
      </c>
      <c r="H40" s="6">
        <f t="shared" si="6"/>
        <v>-7.1901672132296992E-5</v>
      </c>
      <c r="I40" s="6">
        <f t="shared" si="7"/>
        <v>1.0937038965548743E-2</v>
      </c>
      <c r="O40" s="22"/>
      <c r="P40" s="22"/>
    </row>
    <row r="41" spans="1:71" x14ac:dyDescent="0.3">
      <c r="A41" s="6">
        <v>18</v>
      </c>
      <c r="B41" s="6">
        <f t="shared" si="0"/>
        <v>2</v>
      </c>
      <c r="C41" s="6">
        <f t="shared" si="1"/>
        <v>6.2723753001198999</v>
      </c>
      <c r="D41" s="6">
        <f t="shared" si="2"/>
        <v>0.85821216100107844</v>
      </c>
      <c r="E41" s="6">
        <f t="shared" si="3"/>
        <v>-8.3780765875451912E-5</v>
      </c>
      <c r="F41" s="6">
        <f t="shared" si="4"/>
        <v>6.2719582611274811</v>
      </c>
      <c r="G41" s="6">
        <f t="shared" si="5"/>
        <v>-5.0934439586480806E-5</v>
      </c>
      <c r="H41" s="6">
        <f t="shared" si="6"/>
        <v>-4.3712555466892566E-5</v>
      </c>
      <c r="I41" s="6">
        <f t="shared" si="7"/>
        <v>6.649262878604836E-3</v>
      </c>
      <c r="O41" s="22"/>
      <c r="P41" s="22"/>
    </row>
    <row r="42" spans="1:71" x14ac:dyDescent="0.3">
      <c r="A42" s="6">
        <v>19</v>
      </c>
      <c r="B42" s="6">
        <f t="shared" si="0"/>
        <v>2</v>
      </c>
      <c r="C42" s="6">
        <f t="shared" si="1"/>
        <v>6.2719582611274811</v>
      </c>
      <c r="D42" s="6">
        <f t="shared" si="2"/>
        <v>0.85821216100107844</v>
      </c>
      <c r="E42" s="6">
        <f t="shared" si="3"/>
        <v>-5.0934439586480806E-5</v>
      </c>
      <c r="F42" s="6">
        <f t="shared" si="4"/>
        <v>6.2717047377019446</v>
      </c>
      <c r="G42" s="6">
        <f t="shared" si="5"/>
        <v>-3.0964676276112879E-5</v>
      </c>
      <c r="H42" s="6">
        <f t="shared" si="6"/>
        <v>-2.6574261741621659E-5</v>
      </c>
      <c r="I42" s="6">
        <f t="shared" si="7"/>
        <v>4.0423367511625442E-3</v>
      </c>
      <c r="O42" s="22"/>
      <c r="P42" s="22"/>
    </row>
    <row r="43" spans="1:71" x14ac:dyDescent="0.3">
      <c r="A43" s="18">
        <v>20</v>
      </c>
      <c r="B43" s="18">
        <f t="shared" si="0"/>
        <v>2</v>
      </c>
      <c r="C43" s="18">
        <f t="shared" si="1"/>
        <v>6.2717047377019446</v>
      </c>
      <c r="D43" s="18">
        <f t="shared" si="2"/>
        <v>0.85821216100107844</v>
      </c>
      <c r="E43" s="18">
        <f t="shared" si="3"/>
        <v>-3.0964676276112879E-5</v>
      </c>
      <c r="F43" s="18">
        <f t="shared" si="4"/>
        <v>6.2715506182567751</v>
      </c>
      <c r="G43" s="18">
        <f t="shared" si="5"/>
        <v>-1.8824096572667148E-5</v>
      </c>
      <c r="H43" s="18">
        <f t="shared" si="6"/>
        <v>-1.6155068598521666E-5</v>
      </c>
      <c r="I43" s="18">
        <f t="shared" si="7"/>
        <v>2.4574376346556404E-3</v>
      </c>
      <c r="O43" s="22"/>
      <c r="P43" s="22"/>
    </row>
    <row r="46" spans="1:7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</row>
    <row r="53" spans="1:13" x14ac:dyDescent="0.3">
      <c r="A53" s="33" t="s">
        <v>57</v>
      </c>
      <c r="B53" s="33" t="s">
        <v>42</v>
      </c>
      <c r="C53" s="33" t="s">
        <v>43</v>
      </c>
      <c r="D53" s="33" t="s">
        <v>45</v>
      </c>
      <c r="E53" s="33" t="s">
        <v>58</v>
      </c>
      <c r="F53" s="33" t="s">
        <v>59</v>
      </c>
      <c r="G53" s="33" t="s">
        <v>46</v>
      </c>
      <c r="H53" s="33" t="s">
        <v>60</v>
      </c>
      <c r="I53" s="33" t="s">
        <v>61</v>
      </c>
    </row>
    <row r="54" spans="1:13" x14ac:dyDescent="0.3">
      <c r="A54" s="6">
        <v>1</v>
      </c>
      <c r="B54" s="6">
        <v>1</v>
      </c>
      <c r="C54" s="6">
        <v>3</v>
      </c>
      <c r="D54" s="6">
        <f>((B54)^2)-4</f>
        <v>-3</v>
      </c>
      <c r="E54" s="6">
        <f>((C54)^2)-4</f>
        <v>5</v>
      </c>
      <c r="F54" s="6">
        <f>C54-(E54*(C54-B54))/(E54-D54)</f>
        <v>1.75</v>
      </c>
      <c r="G54" s="6">
        <f>((F54)^2)-4</f>
        <v>-0.9375</v>
      </c>
      <c r="H54" s="6">
        <f>D54*G54</f>
        <v>2.8125</v>
      </c>
      <c r="I54" s="6"/>
      <c r="L54" s="33" t="s">
        <v>14</v>
      </c>
      <c r="M54" s="33" t="s">
        <v>15</v>
      </c>
    </row>
    <row r="55" spans="1:13" x14ac:dyDescent="0.3">
      <c r="A55" s="6">
        <v>2</v>
      </c>
      <c r="B55" s="6">
        <f>IF(H54&lt;0,B54,F54)</f>
        <v>1.75</v>
      </c>
      <c r="C55" s="6">
        <f>IF(H54&gt;0,C54,F54)</f>
        <v>3</v>
      </c>
      <c r="D55" s="6">
        <f>((B55)^2)-4</f>
        <v>-0.9375</v>
      </c>
      <c r="E55" s="6">
        <f>((C55)^2)-4</f>
        <v>5</v>
      </c>
      <c r="F55" s="6">
        <f>C55-(E55*(C55-B55))/(E55-D55)</f>
        <v>1.9473684210526316</v>
      </c>
      <c r="G55" s="6">
        <f>((F55)^2)-4</f>
        <v>-0.20775623268698018</v>
      </c>
      <c r="H55" s="6">
        <f>D55*G55</f>
        <v>0.19477146814404392</v>
      </c>
      <c r="I55" s="6">
        <f>ABS((F55-F54)/F55*100)</f>
        <v>10.135135135135139</v>
      </c>
      <c r="L55" s="6">
        <v>-0.5</v>
      </c>
      <c r="M55" s="6">
        <f>((L55)^2)-4</f>
        <v>-3.75</v>
      </c>
    </row>
    <row r="56" spans="1:13" x14ac:dyDescent="0.3">
      <c r="A56" s="6">
        <v>3</v>
      </c>
      <c r="B56" s="6">
        <f t="shared" ref="B56:B66" si="10">IF(H55&lt;0,B55,F55)</f>
        <v>1.9473684210526316</v>
      </c>
      <c r="C56" s="6">
        <f t="shared" ref="C56:C66" si="11">IF(H55&gt;0,C55,F55)</f>
        <v>3</v>
      </c>
      <c r="D56" s="6">
        <f t="shared" ref="D56:D66" si="12">((B56)^2)-4</f>
        <v>-0.20775623268698018</v>
      </c>
      <c r="E56" s="6">
        <f t="shared" ref="E56:E66" si="13">((C56)^2)-4</f>
        <v>5</v>
      </c>
      <c r="F56" s="6">
        <f t="shared" ref="F56:F66" si="14">C56-(E56*(C56-B56))/(E56-D56)</f>
        <v>1.9893617021276597</v>
      </c>
      <c r="G56" s="6">
        <f t="shared" ref="G56:G66" si="15">((F56)^2)-4</f>
        <v>-4.2440018107740674E-2</v>
      </c>
      <c r="H56" s="6">
        <f t="shared" ref="H56:H66" si="16">D56*G56</f>
        <v>8.8171782772314237E-3</v>
      </c>
      <c r="I56" s="6">
        <f t="shared" ref="I56:I66" si="17">ABS((F56-F55)/F56*100)</f>
        <v>2.1108922037714652</v>
      </c>
      <c r="L56" s="6">
        <v>0</v>
      </c>
      <c r="M56" s="6">
        <f t="shared" ref="M56:M61" si="18">((L56)^2)-4</f>
        <v>-4</v>
      </c>
    </row>
    <row r="57" spans="1:13" x14ac:dyDescent="0.3">
      <c r="A57" s="6">
        <v>4</v>
      </c>
      <c r="B57" s="6">
        <f t="shared" si="10"/>
        <v>1.9893617021276597</v>
      </c>
      <c r="C57" s="6">
        <f t="shared" si="11"/>
        <v>3</v>
      </c>
      <c r="D57" s="6">
        <f t="shared" si="12"/>
        <v>-4.2440018107740674E-2</v>
      </c>
      <c r="E57" s="6">
        <f t="shared" si="13"/>
        <v>5</v>
      </c>
      <c r="F57" s="6">
        <f t="shared" si="14"/>
        <v>1.9978678038379531</v>
      </c>
      <c r="G57" s="6">
        <f t="shared" si="15"/>
        <v>-8.5242383877139893E-3</v>
      </c>
      <c r="H57" s="6">
        <f t="shared" si="16"/>
        <v>3.6176883152927989E-4</v>
      </c>
      <c r="I57" s="6">
        <f t="shared" si="17"/>
        <v>0.42575898635300063</v>
      </c>
      <c r="L57" s="6">
        <v>0.5</v>
      </c>
      <c r="M57" s="6">
        <f t="shared" si="18"/>
        <v>-3.75</v>
      </c>
    </row>
    <row r="58" spans="1:13" x14ac:dyDescent="0.3">
      <c r="A58" s="6">
        <v>5</v>
      </c>
      <c r="B58" s="6">
        <f t="shared" si="10"/>
        <v>1.9978678038379531</v>
      </c>
      <c r="C58" s="6">
        <f t="shared" si="11"/>
        <v>3</v>
      </c>
      <c r="D58" s="6">
        <f t="shared" si="12"/>
        <v>-8.5242383877139893E-3</v>
      </c>
      <c r="E58" s="6">
        <f t="shared" si="13"/>
        <v>5</v>
      </c>
      <c r="F58" s="6">
        <f t="shared" si="14"/>
        <v>1.9995733788395904</v>
      </c>
      <c r="G58" s="6">
        <f t="shared" si="15"/>
        <v>-1.7063026360237821E-3</v>
      </c>
      <c r="H58" s="6">
        <f t="shared" si="16"/>
        <v>1.4544930431051495E-5</v>
      </c>
      <c r="I58" s="6">
        <f t="shared" si="17"/>
        <v>8.5296944822652848E-2</v>
      </c>
      <c r="L58" s="6">
        <v>1</v>
      </c>
      <c r="M58" s="6">
        <f t="shared" si="18"/>
        <v>-3</v>
      </c>
    </row>
    <row r="59" spans="1:13" x14ac:dyDescent="0.3">
      <c r="A59" s="6">
        <v>6</v>
      </c>
      <c r="B59" s="6">
        <f t="shared" si="10"/>
        <v>1.9995733788395904</v>
      </c>
      <c r="C59" s="6">
        <f t="shared" si="11"/>
        <v>3</v>
      </c>
      <c r="D59" s="6">
        <f t="shared" si="12"/>
        <v>-1.7063026360237821E-3</v>
      </c>
      <c r="E59" s="6">
        <f t="shared" si="13"/>
        <v>5</v>
      </c>
      <c r="F59" s="6">
        <f t="shared" si="14"/>
        <v>1.9999146684870721</v>
      </c>
      <c r="G59" s="6">
        <f t="shared" si="15"/>
        <v>-3.4131877024456969E-4</v>
      </c>
      <c r="H59" s="6">
        <f t="shared" si="16"/>
        <v>5.8239311739270485E-7</v>
      </c>
      <c r="I59" s="6">
        <f t="shared" si="17"/>
        <v>1.7065210474199184E-2</v>
      </c>
      <c r="L59" s="6">
        <v>1.25</v>
      </c>
      <c r="M59" s="6">
        <f t="shared" si="18"/>
        <v>-2.4375</v>
      </c>
    </row>
    <row r="60" spans="1:13" x14ac:dyDescent="0.3">
      <c r="A60" s="25">
        <v>7</v>
      </c>
      <c r="B60" s="6">
        <f t="shared" si="10"/>
        <v>1.9999146684870721</v>
      </c>
      <c r="C60" s="6">
        <f t="shared" si="11"/>
        <v>3</v>
      </c>
      <c r="D60" s="6">
        <f t="shared" si="12"/>
        <v>-3.4131877024456969E-4</v>
      </c>
      <c r="E60" s="6">
        <f t="shared" si="13"/>
        <v>5</v>
      </c>
      <c r="F60" s="6">
        <f t="shared" si="14"/>
        <v>1.9999829334061507</v>
      </c>
      <c r="G60" s="6">
        <f t="shared" si="15"/>
        <v>-6.8266084128243421E-5</v>
      </c>
      <c r="H60" s="6">
        <f t="shared" si="16"/>
        <v>2.3300495884064383E-8</v>
      </c>
      <c r="I60" s="6">
        <f t="shared" si="17"/>
        <v>3.413275080421301E-3</v>
      </c>
      <c r="L60" s="6">
        <v>1.5</v>
      </c>
      <c r="M60" s="6">
        <f t="shared" si="18"/>
        <v>-1.75</v>
      </c>
    </row>
    <row r="61" spans="1:13" x14ac:dyDescent="0.3">
      <c r="A61" s="6">
        <v>8</v>
      </c>
      <c r="B61" s="6">
        <f t="shared" si="10"/>
        <v>1.9999829334061507</v>
      </c>
      <c r="C61" s="6">
        <f t="shared" si="11"/>
        <v>3</v>
      </c>
      <c r="D61" s="6">
        <f t="shared" si="12"/>
        <v>-6.8266084128243421E-5</v>
      </c>
      <c r="E61" s="6">
        <f t="shared" si="13"/>
        <v>5</v>
      </c>
      <c r="F61" s="6">
        <f t="shared" si="14"/>
        <v>1.9999965866695792</v>
      </c>
      <c r="G61" s="6">
        <f t="shared" si="15"/>
        <v>-1.3653310032335497E-5</v>
      </c>
      <c r="H61" s="6">
        <f t="shared" si="16"/>
        <v>9.3205801129640503E-10</v>
      </c>
      <c r="I61" s="6">
        <f t="shared" si="17"/>
        <v>6.8266433650465317E-4</v>
      </c>
      <c r="L61" s="6">
        <v>2</v>
      </c>
      <c r="M61" s="6">
        <f t="shared" si="18"/>
        <v>0</v>
      </c>
    </row>
    <row r="62" spans="1:13" x14ac:dyDescent="0.3">
      <c r="A62" s="6">
        <v>9</v>
      </c>
      <c r="B62" s="6">
        <f t="shared" si="10"/>
        <v>1.9999965866695792</v>
      </c>
      <c r="C62" s="6">
        <f t="shared" si="11"/>
        <v>3</v>
      </c>
      <c r="D62" s="6">
        <f t="shared" si="12"/>
        <v>-1.3653310032335497E-5</v>
      </c>
      <c r="E62" s="6">
        <f t="shared" si="13"/>
        <v>5</v>
      </c>
      <c r="F62" s="6">
        <f t="shared" si="14"/>
        <v>1.9999993173334498</v>
      </c>
      <c r="G62" s="6">
        <f t="shared" si="15"/>
        <v>-2.7306657348624697E-6</v>
      </c>
      <c r="H62" s="6">
        <f t="shared" si="16"/>
        <v>3.7282625872752541E-11</v>
      </c>
      <c r="I62" s="6">
        <f t="shared" si="17"/>
        <v>1.3653324013213633E-4</v>
      </c>
    </row>
    <row r="63" spans="1:13" x14ac:dyDescent="0.3">
      <c r="A63" s="6">
        <v>10</v>
      </c>
      <c r="B63" s="6">
        <f t="shared" si="10"/>
        <v>1.9999993173334498</v>
      </c>
      <c r="C63" s="6">
        <f t="shared" si="11"/>
        <v>3</v>
      </c>
      <c r="D63" s="6">
        <f t="shared" si="12"/>
        <v>-2.7306657348624697E-6</v>
      </c>
      <c r="E63" s="6">
        <f t="shared" si="13"/>
        <v>5</v>
      </c>
      <c r="F63" s="6">
        <f t="shared" si="14"/>
        <v>1.9999998634666714</v>
      </c>
      <c r="G63" s="6">
        <f t="shared" si="15"/>
        <v>-5.4613329592001492E-7</v>
      </c>
      <c r="H63" s="6">
        <f t="shared" si="16"/>
        <v>1.4913074778362902E-12</v>
      </c>
      <c r="I63" s="6">
        <f t="shared" si="17"/>
        <v>2.7306662940888409E-5</v>
      </c>
    </row>
    <row r="64" spans="1:13" x14ac:dyDescent="0.3">
      <c r="A64" s="6">
        <v>11</v>
      </c>
      <c r="B64" s="6">
        <f t="shared" si="10"/>
        <v>1.9999998634666714</v>
      </c>
      <c r="C64" s="6">
        <f t="shared" si="11"/>
        <v>3</v>
      </c>
      <c r="D64" s="6">
        <f t="shared" si="12"/>
        <v>-5.4613329592001492E-7</v>
      </c>
      <c r="E64" s="6">
        <f t="shared" si="13"/>
        <v>5</v>
      </c>
      <c r="F64" s="6">
        <f t="shared" si="14"/>
        <v>1.9999999726933335</v>
      </c>
      <c r="G64" s="6">
        <f t="shared" si="15"/>
        <v>-1.0922666504598055E-7</v>
      </c>
      <c r="H64" s="6">
        <f t="shared" si="16"/>
        <v>5.965231858391285E-14</v>
      </c>
      <c r="I64" s="6">
        <f t="shared" si="17"/>
        <v>5.4613331825354358E-6</v>
      </c>
    </row>
    <row r="65" spans="1:85" x14ac:dyDescent="0.3">
      <c r="A65" s="6">
        <v>12</v>
      </c>
      <c r="B65" s="6">
        <f t="shared" si="10"/>
        <v>1.9999999726933335</v>
      </c>
      <c r="C65" s="6">
        <f t="shared" si="11"/>
        <v>3</v>
      </c>
      <c r="D65" s="6">
        <f t="shared" si="12"/>
        <v>-1.0922666504598055E-7</v>
      </c>
      <c r="E65" s="6">
        <f t="shared" si="13"/>
        <v>5</v>
      </c>
      <c r="F65" s="6">
        <f t="shared" si="14"/>
        <v>1.9999999945386666</v>
      </c>
      <c r="G65" s="6">
        <f t="shared" si="15"/>
        <v>-2.1845333542103162E-8</v>
      </c>
      <c r="H65" s="6">
        <f t="shared" si="16"/>
        <v>2.386092929621026E-15</v>
      </c>
      <c r="I65" s="6">
        <f t="shared" si="17"/>
        <v>1.0922666578833139E-6</v>
      </c>
    </row>
    <row r="66" spans="1:85" x14ac:dyDescent="0.3">
      <c r="A66" s="18">
        <v>13</v>
      </c>
      <c r="B66" s="18">
        <f t="shared" si="10"/>
        <v>1.9999999945386666</v>
      </c>
      <c r="C66" s="18">
        <f t="shared" si="11"/>
        <v>3</v>
      </c>
      <c r="D66" s="18">
        <f t="shared" si="12"/>
        <v>-2.1845333542103162E-8</v>
      </c>
      <c r="E66" s="18">
        <f t="shared" si="13"/>
        <v>5</v>
      </c>
      <c r="F66" s="18">
        <f t="shared" si="14"/>
        <v>1.9999999989077333</v>
      </c>
      <c r="G66" s="18">
        <f t="shared" si="15"/>
        <v>-4.3690668860563164E-9</v>
      </c>
      <c r="H66" s="18">
        <f t="shared" si="16"/>
        <v>9.5443723393658265E-17</v>
      </c>
      <c r="I66" s="18">
        <f t="shared" si="17"/>
        <v>2.1845333331989025E-7</v>
      </c>
    </row>
    <row r="67" spans="1:85" x14ac:dyDescent="0.3">
      <c r="A67" s="22"/>
      <c r="B67" s="22"/>
      <c r="C67" s="22"/>
      <c r="D67" s="22"/>
      <c r="E67" s="22"/>
      <c r="F67" s="22"/>
      <c r="G67" s="22"/>
      <c r="H67" s="22"/>
      <c r="I67" s="22"/>
    </row>
    <row r="68" spans="1:85" x14ac:dyDescent="0.3">
      <c r="A68" s="22"/>
      <c r="B68" s="22"/>
      <c r="C68" s="22"/>
      <c r="D68" s="22"/>
      <c r="E68" s="22"/>
      <c r="F68" s="22"/>
      <c r="G68" s="22"/>
      <c r="H68" s="22"/>
      <c r="I68" s="22"/>
    </row>
    <row r="69" spans="1:85" x14ac:dyDescent="0.3">
      <c r="A69" s="22"/>
      <c r="B69" s="22"/>
      <c r="C69" s="22"/>
      <c r="D69" s="22"/>
      <c r="E69" s="22"/>
      <c r="F69" s="22"/>
      <c r="G69" s="22"/>
      <c r="H69" s="22"/>
      <c r="I69" s="22"/>
    </row>
    <row r="70" spans="1:85" x14ac:dyDescent="0.3">
      <c r="A70" s="22"/>
      <c r="B70" s="22"/>
      <c r="C70" s="22"/>
      <c r="D70" s="22"/>
      <c r="E70" s="22"/>
      <c r="F70" s="22"/>
      <c r="G70" s="22"/>
      <c r="H70" s="22"/>
      <c r="I70" s="22"/>
    </row>
    <row r="71" spans="1:85" x14ac:dyDescent="0.3">
      <c r="A71" s="22"/>
      <c r="B71" s="22"/>
      <c r="C71" s="22"/>
      <c r="D71" s="22"/>
      <c r="E71" s="22"/>
      <c r="F71" s="22"/>
      <c r="G71" s="22"/>
      <c r="H71" s="22"/>
      <c r="I71" s="22"/>
    </row>
    <row r="72" spans="1:85" x14ac:dyDescent="0.3">
      <c r="A72" s="22"/>
      <c r="B72" s="22"/>
      <c r="C72" s="22"/>
      <c r="D72" s="22"/>
      <c r="E72" s="22"/>
      <c r="F72" s="22"/>
      <c r="G72" s="22"/>
      <c r="H72" s="22"/>
      <c r="I72" s="22"/>
    </row>
    <row r="73" spans="1:85" x14ac:dyDescent="0.3">
      <c r="A73" s="22"/>
      <c r="B73" s="22"/>
      <c r="C73" s="22"/>
      <c r="D73" s="22"/>
      <c r="E73" s="22"/>
      <c r="F73" s="22"/>
      <c r="G73" s="22"/>
      <c r="H73" s="22"/>
      <c r="I73" s="22"/>
    </row>
    <row r="74" spans="1:85" x14ac:dyDescent="0.3">
      <c r="A74" s="22"/>
      <c r="B74" s="22"/>
      <c r="C74" s="22"/>
      <c r="D74" s="22"/>
      <c r="E74" s="22"/>
      <c r="F74" s="22"/>
      <c r="G74" s="22"/>
      <c r="H74" s="22"/>
      <c r="I74" s="22"/>
    </row>
    <row r="76" spans="1:8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</row>
    <row r="81" spans="1:13" x14ac:dyDescent="0.3">
      <c r="A81" s="34" t="s">
        <v>57</v>
      </c>
      <c r="B81" s="34" t="s">
        <v>42</v>
      </c>
      <c r="C81" s="34" t="s">
        <v>43</v>
      </c>
      <c r="D81" s="34" t="s">
        <v>45</v>
      </c>
      <c r="E81" s="34" t="s">
        <v>58</v>
      </c>
      <c r="F81" s="34" t="s">
        <v>59</v>
      </c>
      <c r="G81" s="34" t="s">
        <v>46</v>
      </c>
      <c r="H81" s="34" t="s">
        <v>60</v>
      </c>
      <c r="I81" s="34" t="s">
        <v>61</v>
      </c>
      <c r="L81" s="34" t="s">
        <v>30</v>
      </c>
      <c r="M81" s="34" t="s">
        <v>15</v>
      </c>
    </row>
    <row r="82" spans="1:13" x14ac:dyDescent="0.3">
      <c r="A82" s="6">
        <v>1</v>
      </c>
      <c r="B82" s="6">
        <v>4</v>
      </c>
      <c r="C82" s="6">
        <v>6</v>
      </c>
      <c r="D82" s="6">
        <f>(B82)-5</f>
        <v>-1</v>
      </c>
      <c r="E82" s="6">
        <f>(C82)-5</f>
        <v>1</v>
      </c>
      <c r="F82" s="6">
        <f>C82-(E82*(C82-B82))/(E82-D82)</f>
        <v>5</v>
      </c>
      <c r="G82" s="6">
        <f>(F82)-5</f>
        <v>0</v>
      </c>
      <c r="H82" s="6">
        <f>D82*G82</f>
        <v>0</v>
      </c>
      <c r="I82" s="6"/>
      <c r="L82" s="6">
        <v>-0.5</v>
      </c>
      <c r="M82" s="6">
        <f>(L82)-5</f>
        <v>-5.5</v>
      </c>
    </row>
    <row r="83" spans="1:13" x14ac:dyDescent="0.3">
      <c r="A83" s="18">
        <v>2</v>
      </c>
      <c r="B83" s="18">
        <f>IF(H82&lt;0,B82,F82)</f>
        <v>5</v>
      </c>
      <c r="C83" s="18">
        <f>IF(H82&gt;0,C82,F82)</f>
        <v>5</v>
      </c>
      <c r="D83" s="18">
        <f t="shared" ref="D83:D94" si="19">(B83)-5</f>
        <v>0</v>
      </c>
      <c r="E83" s="18">
        <f t="shared" ref="E83:E94" si="20">(C83)-5</f>
        <v>0</v>
      </c>
      <c r="F83" s="18" t="e">
        <f t="shared" ref="F83:F94" si="21">C83-(E83*(C83-B83))/(E83-D83)</f>
        <v>#DIV/0!</v>
      </c>
      <c r="G83" s="18" t="e">
        <f>((F83)^2)-4</f>
        <v>#DIV/0!</v>
      </c>
      <c r="H83" s="18" t="e">
        <f>D83*G83</f>
        <v>#DIV/0!</v>
      </c>
      <c r="I83" s="18" t="e">
        <f>ABS((F83-F82)/F83*100)</f>
        <v>#DIV/0!</v>
      </c>
      <c r="L83" s="6">
        <v>0</v>
      </c>
      <c r="M83" s="6">
        <f t="shared" ref="M83:M91" si="22">(L83)-5</f>
        <v>-5</v>
      </c>
    </row>
    <row r="84" spans="1:13" x14ac:dyDescent="0.3">
      <c r="A84" s="6">
        <v>3</v>
      </c>
      <c r="B84" s="6" t="e">
        <f>IF(H83&lt;0,B83,F83)</f>
        <v>#DIV/0!</v>
      </c>
      <c r="C84" s="6" t="e">
        <f t="shared" ref="C84:C94" si="23">IF(H83&gt;0,C83,F83)</f>
        <v>#DIV/0!</v>
      </c>
      <c r="D84" s="6" t="e">
        <f t="shared" si="19"/>
        <v>#DIV/0!</v>
      </c>
      <c r="E84" s="6" t="e">
        <f t="shared" si="20"/>
        <v>#DIV/0!</v>
      </c>
      <c r="F84" s="6" t="e">
        <f t="shared" si="21"/>
        <v>#DIV/0!</v>
      </c>
      <c r="G84" s="6" t="e">
        <f t="shared" ref="G84:G94" si="24">((F84)^2)-4</f>
        <v>#DIV/0!</v>
      </c>
      <c r="H84" s="6" t="e">
        <f t="shared" ref="H84:H94" si="25">D84*G84</f>
        <v>#DIV/0!</v>
      </c>
      <c r="I84" s="6" t="e">
        <f t="shared" ref="I84:I94" si="26">ABS((F84-F83)/F84*100)</f>
        <v>#DIV/0!</v>
      </c>
      <c r="L84" s="6">
        <v>0.1</v>
      </c>
      <c r="M84" s="6">
        <f t="shared" si="22"/>
        <v>-4.9000000000000004</v>
      </c>
    </row>
    <row r="85" spans="1:13" x14ac:dyDescent="0.3">
      <c r="A85" s="6">
        <v>4</v>
      </c>
      <c r="B85" s="6" t="e">
        <f t="shared" ref="B85:B94" si="27">IF(H84&lt;0,B84,F84)</f>
        <v>#DIV/0!</v>
      </c>
      <c r="C85" s="6" t="e">
        <f t="shared" si="23"/>
        <v>#DIV/0!</v>
      </c>
      <c r="D85" s="6" t="e">
        <f t="shared" si="19"/>
        <v>#DIV/0!</v>
      </c>
      <c r="E85" s="6" t="e">
        <f t="shared" si="20"/>
        <v>#DIV/0!</v>
      </c>
      <c r="F85" s="6" t="e">
        <f t="shared" si="21"/>
        <v>#DIV/0!</v>
      </c>
      <c r="G85" s="6" t="e">
        <f t="shared" si="24"/>
        <v>#DIV/0!</v>
      </c>
      <c r="H85" s="6" t="e">
        <f t="shared" si="25"/>
        <v>#DIV/0!</v>
      </c>
      <c r="I85" s="6" t="e">
        <f t="shared" si="26"/>
        <v>#DIV/0!</v>
      </c>
      <c r="L85" s="6">
        <v>0.15</v>
      </c>
      <c r="M85" s="6">
        <f t="shared" si="22"/>
        <v>-4.8499999999999996</v>
      </c>
    </row>
    <row r="86" spans="1:13" x14ac:dyDescent="0.3">
      <c r="A86" s="6">
        <v>5</v>
      </c>
      <c r="B86" s="6" t="e">
        <f t="shared" si="27"/>
        <v>#DIV/0!</v>
      </c>
      <c r="C86" s="6" t="e">
        <f t="shared" si="23"/>
        <v>#DIV/0!</v>
      </c>
      <c r="D86" s="6" t="e">
        <f t="shared" si="19"/>
        <v>#DIV/0!</v>
      </c>
      <c r="E86" s="6" t="e">
        <f t="shared" si="20"/>
        <v>#DIV/0!</v>
      </c>
      <c r="F86" s="6" t="e">
        <f t="shared" si="21"/>
        <v>#DIV/0!</v>
      </c>
      <c r="G86" s="6" t="e">
        <f t="shared" si="24"/>
        <v>#DIV/0!</v>
      </c>
      <c r="H86" s="6" t="e">
        <f t="shared" si="25"/>
        <v>#DIV/0!</v>
      </c>
      <c r="I86" s="6" t="e">
        <f t="shared" si="26"/>
        <v>#DIV/0!</v>
      </c>
      <c r="L86" s="6">
        <v>0.18</v>
      </c>
      <c r="M86" s="6">
        <f t="shared" si="22"/>
        <v>-4.82</v>
      </c>
    </row>
    <row r="87" spans="1:13" x14ac:dyDescent="0.3">
      <c r="A87" s="6">
        <v>6</v>
      </c>
      <c r="B87" s="6" t="e">
        <f t="shared" si="27"/>
        <v>#DIV/0!</v>
      </c>
      <c r="C87" s="6" t="e">
        <f t="shared" si="23"/>
        <v>#DIV/0!</v>
      </c>
      <c r="D87" s="6" t="e">
        <f t="shared" si="19"/>
        <v>#DIV/0!</v>
      </c>
      <c r="E87" s="6" t="e">
        <f t="shared" si="20"/>
        <v>#DIV/0!</v>
      </c>
      <c r="F87" s="6" t="e">
        <f t="shared" si="21"/>
        <v>#DIV/0!</v>
      </c>
      <c r="G87" s="6" t="e">
        <f t="shared" si="24"/>
        <v>#DIV/0!</v>
      </c>
      <c r="H87" s="6" t="e">
        <f t="shared" si="25"/>
        <v>#DIV/0!</v>
      </c>
      <c r="I87" s="6" t="e">
        <f t="shared" si="26"/>
        <v>#DIV/0!</v>
      </c>
      <c r="L87" s="6">
        <v>0.2</v>
      </c>
      <c r="M87" s="6">
        <f t="shared" si="22"/>
        <v>-4.8</v>
      </c>
    </row>
    <row r="88" spans="1:13" x14ac:dyDescent="0.3">
      <c r="A88" s="25">
        <v>7</v>
      </c>
      <c r="B88" s="6" t="e">
        <f t="shared" si="27"/>
        <v>#DIV/0!</v>
      </c>
      <c r="C88" s="6" t="e">
        <f t="shared" si="23"/>
        <v>#DIV/0!</v>
      </c>
      <c r="D88" s="6" t="e">
        <f t="shared" si="19"/>
        <v>#DIV/0!</v>
      </c>
      <c r="E88" s="6" t="e">
        <f t="shared" si="20"/>
        <v>#DIV/0!</v>
      </c>
      <c r="F88" s="6" t="e">
        <f t="shared" si="21"/>
        <v>#DIV/0!</v>
      </c>
      <c r="G88" s="6" t="e">
        <f t="shared" si="24"/>
        <v>#DIV/0!</v>
      </c>
      <c r="H88" s="6" t="e">
        <f t="shared" si="25"/>
        <v>#DIV/0!</v>
      </c>
      <c r="I88" s="6" t="e">
        <f t="shared" si="26"/>
        <v>#DIV/0!</v>
      </c>
      <c r="L88" s="6">
        <v>0.20100000000000001</v>
      </c>
      <c r="M88" s="6">
        <f t="shared" si="22"/>
        <v>-4.7990000000000004</v>
      </c>
    </row>
    <row r="89" spans="1:13" x14ac:dyDescent="0.3">
      <c r="A89" s="6">
        <v>8</v>
      </c>
      <c r="B89" s="6" t="e">
        <f t="shared" si="27"/>
        <v>#DIV/0!</v>
      </c>
      <c r="C89" s="6" t="e">
        <f t="shared" si="23"/>
        <v>#DIV/0!</v>
      </c>
      <c r="D89" s="6" t="e">
        <f t="shared" si="19"/>
        <v>#DIV/0!</v>
      </c>
      <c r="E89" s="6" t="e">
        <f t="shared" si="20"/>
        <v>#DIV/0!</v>
      </c>
      <c r="F89" s="6" t="e">
        <f t="shared" si="21"/>
        <v>#DIV/0!</v>
      </c>
      <c r="G89" s="6" t="e">
        <f t="shared" si="24"/>
        <v>#DIV/0!</v>
      </c>
      <c r="H89" s="6" t="e">
        <f t="shared" si="25"/>
        <v>#DIV/0!</v>
      </c>
      <c r="I89" s="6" t="e">
        <f t="shared" si="26"/>
        <v>#DIV/0!</v>
      </c>
      <c r="L89" s="6">
        <v>0.20200000000000001</v>
      </c>
      <c r="M89" s="6">
        <f t="shared" si="22"/>
        <v>-4.798</v>
      </c>
    </row>
    <row r="90" spans="1:13" x14ac:dyDescent="0.3">
      <c r="A90" s="6">
        <v>9</v>
      </c>
      <c r="B90" s="6" t="e">
        <f t="shared" si="27"/>
        <v>#DIV/0!</v>
      </c>
      <c r="C90" s="6" t="e">
        <f t="shared" si="23"/>
        <v>#DIV/0!</v>
      </c>
      <c r="D90" s="6" t="e">
        <f t="shared" si="19"/>
        <v>#DIV/0!</v>
      </c>
      <c r="E90" s="6" t="e">
        <f t="shared" si="20"/>
        <v>#DIV/0!</v>
      </c>
      <c r="F90" s="6" t="e">
        <f t="shared" si="21"/>
        <v>#DIV/0!</v>
      </c>
      <c r="G90" s="6" t="e">
        <f t="shared" si="24"/>
        <v>#DIV/0!</v>
      </c>
      <c r="H90" s="6" t="e">
        <f t="shared" si="25"/>
        <v>#DIV/0!</v>
      </c>
      <c r="I90" s="6" t="e">
        <f t="shared" si="26"/>
        <v>#DIV/0!</v>
      </c>
      <c r="L90" s="6">
        <v>0.25</v>
      </c>
      <c r="M90" s="6">
        <f t="shared" si="22"/>
        <v>-4.75</v>
      </c>
    </row>
    <row r="91" spans="1:13" x14ac:dyDescent="0.3">
      <c r="A91" s="6">
        <v>10</v>
      </c>
      <c r="B91" s="6" t="e">
        <f t="shared" si="27"/>
        <v>#DIV/0!</v>
      </c>
      <c r="C91" s="6" t="e">
        <f t="shared" si="23"/>
        <v>#DIV/0!</v>
      </c>
      <c r="D91" s="6" t="e">
        <f t="shared" si="19"/>
        <v>#DIV/0!</v>
      </c>
      <c r="E91" s="6" t="e">
        <f t="shared" si="20"/>
        <v>#DIV/0!</v>
      </c>
      <c r="F91" s="6" t="e">
        <f t="shared" si="21"/>
        <v>#DIV/0!</v>
      </c>
      <c r="G91" s="6" t="e">
        <f t="shared" si="24"/>
        <v>#DIV/0!</v>
      </c>
      <c r="H91" s="6" t="e">
        <f t="shared" si="25"/>
        <v>#DIV/0!</v>
      </c>
      <c r="I91" s="6" t="e">
        <f t="shared" si="26"/>
        <v>#DIV/0!</v>
      </c>
      <c r="L91" s="6">
        <v>0.5</v>
      </c>
      <c r="M91" s="6">
        <f t="shared" si="22"/>
        <v>-4.5</v>
      </c>
    </row>
    <row r="92" spans="1:13" x14ac:dyDescent="0.3">
      <c r="A92" s="6">
        <v>11</v>
      </c>
      <c r="B92" s="6" t="e">
        <f t="shared" si="27"/>
        <v>#DIV/0!</v>
      </c>
      <c r="C92" s="6" t="e">
        <f t="shared" si="23"/>
        <v>#DIV/0!</v>
      </c>
      <c r="D92" s="6" t="e">
        <f t="shared" si="19"/>
        <v>#DIV/0!</v>
      </c>
      <c r="E92" s="6" t="e">
        <f t="shared" si="20"/>
        <v>#DIV/0!</v>
      </c>
      <c r="F92" s="6" t="e">
        <f t="shared" si="21"/>
        <v>#DIV/0!</v>
      </c>
      <c r="G92" s="6" t="e">
        <f t="shared" si="24"/>
        <v>#DIV/0!</v>
      </c>
      <c r="H92" s="6" t="e">
        <f t="shared" si="25"/>
        <v>#DIV/0!</v>
      </c>
      <c r="I92" s="6" t="e">
        <f t="shared" si="26"/>
        <v>#DIV/0!</v>
      </c>
    </row>
    <row r="93" spans="1:13" x14ac:dyDescent="0.3">
      <c r="A93" s="6">
        <v>12</v>
      </c>
      <c r="B93" s="6" t="e">
        <f t="shared" si="27"/>
        <v>#DIV/0!</v>
      </c>
      <c r="C93" s="6" t="e">
        <f t="shared" si="23"/>
        <v>#DIV/0!</v>
      </c>
      <c r="D93" s="6" t="e">
        <f t="shared" si="19"/>
        <v>#DIV/0!</v>
      </c>
      <c r="E93" s="6" t="e">
        <f t="shared" si="20"/>
        <v>#DIV/0!</v>
      </c>
      <c r="F93" s="6" t="e">
        <f t="shared" si="21"/>
        <v>#DIV/0!</v>
      </c>
      <c r="G93" s="6" t="e">
        <f t="shared" si="24"/>
        <v>#DIV/0!</v>
      </c>
      <c r="H93" s="6" t="e">
        <f t="shared" si="25"/>
        <v>#DIV/0!</v>
      </c>
      <c r="I93" s="6" t="e">
        <f t="shared" si="26"/>
        <v>#DIV/0!</v>
      </c>
    </row>
    <row r="94" spans="1:13" x14ac:dyDescent="0.3">
      <c r="A94" s="25">
        <v>13</v>
      </c>
      <c r="B94" s="25" t="e">
        <f t="shared" si="27"/>
        <v>#DIV/0!</v>
      </c>
      <c r="C94" s="25" t="e">
        <f t="shared" si="23"/>
        <v>#DIV/0!</v>
      </c>
      <c r="D94" s="25" t="e">
        <f t="shared" si="19"/>
        <v>#DIV/0!</v>
      </c>
      <c r="E94" s="25" t="e">
        <f t="shared" si="20"/>
        <v>#DIV/0!</v>
      </c>
      <c r="F94" s="25" t="e">
        <f t="shared" si="21"/>
        <v>#DIV/0!</v>
      </c>
      <c r="G94" s="25" t="e">
        <f t="shared" si="24"/>
        <v>#DIV/0!</v>
      </c>
      <c r="H94" s="25" t="e">
        <f t="shared" si="25"/>
        <v>#DIV/0!</v>
      </c>
      <c r="I94" s="25" t="e">
        <f t="shared" si="26"/>
        <v>#DIV/0!</v>
      </c>
    </row>
    <row r="100" spans="1:95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</row>
    <row r="105" spans="1:95" x14ac:dyDescent="0.3">
      <c r="A105" s="35" t="s">
        <v>57</v>
      </c>
      <c r="B105" s="35" t="s">
        <v>42</v>
      </c>
      <c r="C105" s="35" t="s">
        <v>43</v>
      </c>
      <c r="D105" s="35" t="s">
        <v>45</v>
      </c>
      <c r="E105" s="35" t="s">
        <v>58</v>
      </c>
      <c r="F105" s="35" t="s">
        <v>59</v>
      </c>
      <c r="G105" s="35" t="s">
        <v>46</v>
      </c>
      <c r="H105" s="35" t="s">
        <v>60</v>
      </c>
      <c r="I105" s="35" t="s">
        <v>61</v>
      </c>
      <c r="L105" s="35" t="s">
        <v>14</v>
      </c>
      <c r="M105" s="35" t="s">
        <v>15</v>
      </c>
    </row>
    <row r="106" spans="1:95" x14ac:dyDescent="0.3">
      <c r="A106" s="6">
        <v>1</v>
      </c>
      <c r="B106" s="6">
        <v>4</v>
      </c>
      <c r="C106" s="6">
        <v>6</v>
      </c>
      <c r="D106" s="6">
        <f>2*(B106)-7</f>
        <v>1</v>
      </c>
      <c r="E106" s="6">
        <f>2*(C106)-7</f>
        <v>5</v>
      </c>
      <c r="F106" s="6">
        <f>C106-(E106*(C106-B106))/(E106-D106)</f>
        <v>3.5</v>
      </c>
      <c r="G106" s="6">
        <f>2*(F106)-7</f>
        <v>0</v>
      </c>
      <c r="H106" s="6">
        <f>D106*G106</f>
        <v>0</v>
      </c>
      <c r="I106" s="6"/>
      <c r="L106" s="6">
        <v>1.5</v>
      </c>
      <c r="M106" s="6">
        <f>2*(L106)-7</f>
        <v>-4</v>
      </c>
    </row>
    <row r="107" spans="1:95" x14ac:dyDescent="0.3">
      <c r="A107" s="18">
        <v>2</v>
      </c>
      <c r="B107" s="18">
        <f>IF(H106&lt;0,B106,F106)</f>
        <v>3.5</v>
      </c>
      <c r="C107" s="18">
        <f>IF(H106&gt;0,C106,F106)</f>
        <v>3.5</v>
      </c>
      <c r="D107" s="18">
        <f t="shared" ref="D107:D118" si="28">(B107)-5</f>
        <v>-1.5</v>
      </c>
      <c r="E107" s="18">
        <f t="shared" ref="E107:E118" si="29">(C107)-5</f>
        <v>-1.5</v>
      </c>
      <c r="F107" s="18" t="e">
        <f t="shared" ref="F107:F118" si="30">C107-(E107*(C107-B107))/(E107-D107)</f>
        <v>#DIV/0!</v>
      </c>
      <c r="G107" s="18" t="e">
        <f>((F107)^2)-4</f>
        <v>#DIV/0!</v>
      </c>
      <c r="H107" s="18" t="e">
        <f>D107*G107</f>
        <v>#DIV/0!</v>
      </c>
      <c r="I107" s="18" t="e">
        <f>ABS((F107-F106)/F107*100)</f>
        <v>#DIV/0!</v>
      </c>
      <c r="L107" s="6">
        <v>1.8</v>
      </c>
      <c r="M107" s="6">
        <f t="shared" ref="M107:M115" si="31">2*(L107)-7</f>
        <v>-3.4</v>
      </c>
    </row>
    <row r="108" spans="1:95" x14ac:dyDescent="0.3">
      <c r="A108" s="6">
        <v>3</v>
      </c>
      <c r="B108" s="6" t="e">
        <f>IF(H107&lt;0,B107,F107)</f>
        <v>#DIV/0!</v>
      </c>
      <c r="C108" s="6" t="e">
        <f t="shared" ref="C108:C118" si="32">IF(H107&gt;0,C107,F107)</f>
        <v>#DIV/0!</v>
      </c>
      <c r="D108" s="6" t="e">
        <f t="shared" si="28"/>
        <v>#DIV/0!</v>
      </c>
      <c r="E108" s="6" t="e">
        <f t="shared" si="29"/>
        <v>#DIV/0!</v>
      </c>
      <c r="F108" s="6" t="e">
        <f t="shared" si="30"/>
        <v>#DIV/0!</v>
      </c>
      <c r="G108" s="6" t="e">
        <f t="shared" ref="G108:G118" si="33">((F108)^2)-4</f>
        <v>#DIV/0!</v>
      </c>
      <c r="H108" s="6" t="e">
        <f t="shared" ref="H108:H118" si="34">D108*G108</f>
        <v>#DIV/0!</v>
      </c>
      <c r="I108" s="6" t="e">
        <f t="shared" ref="I108:I118" si="35">ABS((F108-F107)/F108*100)</f>
        <v>#DIV/0!</v>
      </c>
      <c r="L108" s="6">
        <v>2</v>
      </c>
      <c r="M108" s="6">
        <f>2*(L108)-7</f>
        <v>-3</v>
      </c>
    </row>
    <row r="109" spans="1:95" x14ac:dyDescent="0.3">
      <c r="A109" s="6">
        <v>4</v>
      </c>
      <c r="B109" s="6" t="e">
        <f t="shared" ref="B109:B118" si="36">IF(H108&lt;0,B108,F108)</f>
        <v>#DIV/0!</v>
      </c>
      <c r="C109" s="6" t="e">
        <f t="shared" si="32"/>
        <v>#DIV/0!</v>
      </c>
      <c r="D109" s="6" t="e">
        <f t="shared" si="28"/>
        <v>#DIV/0!</v>
      </c>
      <c r="E109" s="6" t="e">
        <f t="shared" si="29"/>
        <v>#DIV/0!</v>
      </c>
      <c r="F109" s="6" t="e">
        <f t="shared" si="30"/>
        <v>#DIV/0!</v>
      </c>
      <c r="G109" s="6" t="e">
        <f t="shared" si="33"/>
        <v>#DIV/0!</v>
      </c>
      <c r="H109" s="6" t="e">
        <f t="shared" si="34"/>
        <v>#DIV/0!</v>
      </c>
      <c r="I109" s="6" t="e">
        <f t="shared" si="35"/>
        <v>#DIV/0!</v>
      </c>
      <c r="L109" s="6">
        <v>2.0499999999999998</v>
      </c>
      <c r="M109" s="6">
        <f t="shared" si="31"/>
        <v>-2.9000000000000004</v>
      </c>
    </row>
    <row r="110" spans="1:95" x14ac:dyDescent="0.3">
      <c r="A110" s="6"/>
      <c r="B110" s="6" t="e">
        <f t="shared" si="36"/>
        <v>#DIV/0!</v>
      </c>
      <c r="C110" s="6" t="e">
        <f t="shared" si="32"/>
        <v>#DIV/0!</v>
      </c>
      <c r="D110" s="6" t="e">
        <f t="shared" si="28"/>
        <v>#DIV/0!</v>
      </c>
      <c r="E110" s="6" t="e">
        <f t="shared" si="29"/>
        <v>#DIV/0!</v>
      </c>
      <c r="F110" s="6" t="e">
        <f t="shared" si="30"/>
        <v>#DIV/0!</v>
      </c>
      <c r="G110" s="6" t="e">
        <f t="shared" si="33"/>
        <v>#DIV/0!</v>
      </c>
      <c r="H110" s="6" t="e">
        <f t="shared" si="34"/>
        <v>#DIV/0!</v>
      </c>
      <c r="I110" s="6" t="e">
        <f t="shared" si="35"/>
        <v>#DIV/0!</v>
      </c>
      <c r="L110" s="6">
        <v>2.09</v>
      </c>
      <c r="M110" s="6">
        <f t="shared" si="31"/>
        <v>-2.8200000000000003</v>
      </c>
    </row>
    <row r="111" spans="1:95" x14ac:dyDescent="0.3">
      <c r="A111" s="6">
        <v>6</v>
      </c>
      <c r="B111" s="6" t="e">
        <f t="shared" si="36"/>
        <v>#DIV/0!</v>
      </c>
      <c r="C111" s="6" t="e">
        <f t="shared" si="32"/>
        <v>#DIV/0!</v>
      </c>
      <c r="D111" s="6" t="e">
        <f t="shared" si="28"/>
        <v>#DIV/0!</v>
      </c>
      <c r="E111" s="6" t="e">
        <f t="shared" si="29"/>
        <v>#DIV/0!</v>
      </c>
      <c r="F111" s="6" t="e">
        <f t="shared" si="30"/>
        <v>#DIV/0!</v>
      </c>
      <c r="G111" s="6" t="e">
        <f t="shared" si="33"/>
        <v>#DIV/0!</v>
      </c>
      <c r="H111" s="6" t="e">
        <f t="shared" si="34"/>
        <v>#DIV/0!</v>
      </c>
      <c r="I111" s="6" t="e">
        <f t="shared" si="35"/>
        <v>#DIV/0!</v>
      </c>
      <c r="L111" s="6">
        <v>2.0939999999999999</v>
      </c>
      <c r="M111" s="6">
        <f t="shared" si="31"/>
        <v>-2.8120000000000003</v>
      </c>
    </row>
    <row r="112" spans="1:95" x14ac:dyDescent="0.3">
      <c r="A112" s="25">
        <v>7</v>
      </c>
      <c r="B112" s="6" t="e">
        <f t="shared" si="36"/>
        <v>#DIV/0!</v>
      </c>
      <c r="C112" s="6" t="e">
        <f t="shared" si="32"/>
        <v>#DIV/0!</v>
      </c>
      <c r="D112" s="6" t="e">
        <f t="shared" si="28"/>
        <v>#DIV/0!</v>
      </c>
      <c r="E112" s="6" t="e">
        <f t="shared" si="29"/>
        <v>#DIV/0!</v>
      </c>
      <c r="F112" s="6" t="e">
        <f t="shared" si="30"/>
        <v>#DIV/0!</v>
      </c>
      <c r="G112" s="6" t="e">
        <f t="shared" si="33"/>
        <v>#DIV/0!</v>
      </c>
      <c r="H112" s="6" t="e">
        <f t="shared" si="34"/>
        <v>#DIV/0!</v>
      </c>
      <c r="I112" s="6" t="e">
        <f t="shared" si="35"/>
        <v>#DIV/0!</v>
      </c>
      <c r="L112" s="6">
        <v>2.0950000000000002</v>
      </c>
      <c r="M112" s="6">
        <f t="shared" si="31"/>
        <v>-2.8099999999999996</v>
      </c>
    </row>
    <row r="113" spans="1:85" x14ac:dyDescent="0.3">
      <c r="A113" s="6">
        <v>8</v>
      </c>
      <c r="B113" s="6" t="e">
        <f t="shared" si="36"/>
        <v>#DIV/0!</v>
      </c>
      <c r="C113" s="6" t="e">
        <f t="shared" si="32"/>
        <v>#DIV/0!</v>
      </c>
      <c r="D113" s="6" t="e">
        <f t="shared" si="28"/>
        <v>#DIV/0!</v>
      </c>
      <c r="E113" s="6" t="e">
        <f t="shared" si="29"/>
        <v>#DIV/0!</v>
      </c>
      <c r="F113" s="6" t="e">
        <f t="shared" si="30"/>
        <v>#DIV/0!</v>
      </c>
      <c r="G113" s="6" t="e">
        <f t="shared" si="33"/>
        <v>#DIV/0!</v>
      </c>
      <c r="H113" s="6" t="e">
        <f t="shared" si="34"/>
        <v>#DIV/0!</v>
      </c>
      <c r="I113" s="6" t="e">
        <f t="shared" si="35"/>
        <v>#DIV/0!</v>
      </c>
      <c r="L113" s="6">
        <v>2.1</v>
      </c>
      <c r="M113" s="6">
        <f t="shared" si="31"/>
        <v>-2.8</v>
      </c>
    </row>
    <row r="114" spans="1:85" x14ac:dyDescent="0.3">
      <c r="A114" s="6">
        <v>9</v>
      </c>
      <c r="B114" s="6" t="e">
        <f t="shared" si="36"/>
        <v>#DIV/0!</v>
      </c>
      <c r="C114" s="6" t="e">
        <f t="shared" si="32"/>
        <v>#DIV/0!</v>
      </c>
      <c r="D114" s="6" t="e">
        <f t="shared" si="28"/>
        <v>#DIV/0!</v>
      </c>
      <c r="E114" s="6" t="e">
        <f t="shared" si="29"/>
        <v>#DIV/0!</v>
      </c>
      <c r="F114" s="6" t="e">
        <f t="shared" si="30"/>
        <v>#DIV/0!</v>
      </c>
      <c r="G114" s="6" t="e">
        <f t="shared" si="33"/>
        <v>#DIV/0!</v>
      </c>
      <c r="H114" s="6" t="e">
        <f t="shared" si="34"/>
        <v>#DIV/0!</v>
      </c>
      <c r="I114" s="6" t="e">
        <f t="shared" si="35"/>
        <v>#DIV/0!</v>
      </c>
      <c r="L114" s="6">
        <v>2.2000000000000002</v>
      </c>
      <c r="M114" s="6">
        <f t="shared" si="31"/>
        <v>-2.5999999999999996</v>
      </c>
    </row>
    <row r="115" spans="1:85" x14ac:dyDescent="0.3">
      <c r="A115" s="6">
        <v>10</v>
      </c>
      <c r="B115" s="6" t="e">
        <f t="shared" si="36"/>
        <v>#DIV/0!</v>
      </c>
      <c r="C115" s="6" t="e">
        <f t="shared" si="32"/>
        <v>#DIV/0!</v>
      </c>
      <c r="D115" s="6" t="e">
        <f t="shared" si="28"/>
        <v>#DIV/0!</v>
      </c>
      <c r="E115" s="6" t="e">
        <f t="shared" si="29"/>
        <v>#DIV/0!</v>
      </c>
      <c r="F115" s="6" t="e">
        <f t="shared" si="30"/>
        <v>#DIV/0!</v>
      </c>
      <c r="G115" s="6" t="e">
        <f t="shared" si="33"/>
        <v>#DIV/0!</v>
      </c>
      <c r="H115" s="6" t="e">
        <f t="shared" si="34"/>
        <v>#DIV/0!</v>
      </c>
      <c r="I115" s="6" t="e">
        <f t="shared" si="35"/>
        <v>#DIV/0!</v>
      </c>
      <c r="L115" s="6">
        <v>2.5</v>
      </c>
      <c r="M115" s="6">
        <f t="shared" si="31"/>
        <v>-2</v>
      </c>
    </row>
    <row r="116" spans="1:85" x14ac:dyDescent="0.3">
      <c r="A116" s="6">
        <v>11</v>
      </c>
      <c r="B116" s="6" t="e">
        <f t="shared" si="36"/>
        <v>#DIV/0!</v>
      </c>
      <c r="C116" s="6" t="e">
        <f t="shared" si="32"/>
        <v>#DIV/0!</v>
      </c>
      <c r="D116" s="6" t="e">
        <f t="shared" si="28"/>
        <v>#DIV/0!</v>
      </c>
      <c r="E116" s="6" t="e">
        <f t="shared" si="29"/>
        <v>#DIV/0!</v>
      </c>
      <c r="F116" s="6" t="e">
        <f t="shared" si="30"/>
        <v>#DIV/0!</v>
      </c>
      <c r="G116" s="6" t="e">
        <f t="shared" si="33"/>
        <v>#DIV/0!</v>
      </c>
      <c r="H116" s="6" t="e">
        <f t="shared" si="34"/>
        <v>#DIV/0!</v>
      </c>
      <c r="I116" s="6" t="e">
        <f t="shared" si="35"/>
        <v>#DIV/0!</v>
      </c>
    </row>
    <row r="117" spans="1:85" x14ac:dyDescent="0.3">
      <c r="A117" s="6">
        <v>12</v>
      </c>
      <c r="B117" s="6" t="e">
        <f t="shared" si="36"/>
        <v>#DIV/0!</v>
      </c>
      <c r="C117" s="6" t="e">
        <f t="shared" si="32"/>
        <v>#DIV/0!</v>
      </c>
      <c r="D117" s="6" t="e">
        <f t="shared" si="28"/>
        <v>#DIV/0!</v>
      </c>
      <c r="E117" s="6" t="e">
        <f t="shared" si="29"/>
        <v>#DIV/0!</v>
      </c>
      <c r="F117" s="6" t="e">
        <f t="shared" si="30"/>
        <v>#DIV/0!</v>
      </c>
      <c r="G117" s="6" t="e">
        <f t="shared" si="33"/>
        <v>#DIV/0!</v>
      </c>
      <c r="H117" s="6" t="e">
        <f>D117*G117</f>
        <v>#DIV/0!</v>
      </c>
      <c r="I117" s="6" t="e">
        <f t="shared" si="35"/>
        <v>#DIV/0!</v>
      </c>
    </row>
    <row r="118" spans="1:85" x14ac:dyDescent="0.3">
      <c r="A118" s="25">
        <v>13</v>
      </c>
      <c r="B118" s="25" t="e">
        <f t="shared" si="36"/>
        <v>#DIV/0!</v>
      </c>
      <c r="C118" s="25" t="e">
        <f t="shared" si="32"/>
        <v>#DIV/0!</v>
      </c>
      <c r="D118" s="25" t="e">
        <f t="shared" si="28"/>
        <v>#DIV/0!</v>
      </c>
      <c r="E118" s="25" t="e">
        <f t="shared" si="29"/>
        <v>#DIV/0!</v>
      </c>
      <c r="F118" s="25" t="e">
        <f t="shared" si="30"/>
        <v>#DIV/0!</v>
      </c>
      <c r="G118" s="25" t="e">
        <f t="shared" si="33"/>
        <v>#DIV/0!</v>
      </c>
      <c r="H118" s="25" t="e">
        <f t="shared" si="34"/>
        <v>#DIV/0!</v>
      </c>
      <c r="I118" s="25" t="e">
        <f t="shared" si="35"/>
        <v>#DIV/0!</v>
      </c>
    </row>
    <row r="124" spans="1:85" x14ac:dyDescent="0.3">
      <c r="A124" s="22"/>
      <c r="B124" s="22"/>
      <c r="C124" s="22"/>
      <c r="D124" s="22"/>
      <c r="E124" s="22"/>
      <c r="F124" s="22"/>
      <c r="G124" s="22"/>
      <c r="H124" s="22"/>
      <c r="I124" s="22"/>
    </row>
    <row r="126" spans="1:85" x14ac:dyDescent="0.3">
      <c r="A126" s="22"/>
      <c r="B126" s="22"/>
      <c r="C126" s="22"/>
      <c r="D126" s="22"/>
      <c r="E126" s="22"/>
      <c r="F126" s="22"/>
      <c r="G126" s="22"/>
      <c r="H126" s="22"/>
      <c r="I126" s="22"/>
    </row>
    <row r="127" spans="1:85" x14ac:dyDescent="0.3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</row>
    <row r="129" spans="1:10" x14ac:dyDescent="0.3">
      <c r="A129" s="38" t="s">
        <v>63</v>
      </c>
      <c r="B129" s="38"/>
      <c r="C129" s="38" t="s">
        <v>65</v>
      </c>
    </row>
    <row r="133" spans="1:10" x14ac:dyDescent="0.3">
      <c r="I133" s="39" t="s">
        <v>14</v>
      </c>
      <c r="J133" s="39" t="s">
        <v>15</v>
      </c>
    </row>
    <row r="134" spans="1:10" x14ac:dyDescent="0.3">
      <c r="A134" s="5" t="s">
        <v>62</v>
      </c>
      <c r="B134" s="5" t="s">
        <v>42</v>
      </c>
      <c r="C134" s="5" t="s">
        <v>43</v>
      </c>
      <c r="D134" s="5" t="s">
        <v>50</v>
      </c>
      <c r="E134" s="5" t="s">
        <v>45</v>
      </c>
      <c r="F134" s="5" t="s">
        <v>58</v>
      </c>
      <c r="G134" s="5" t="s">
        <v>46</v>
      </c>
      <c r="I134" s="7">
        <v>1</v>
      </c>
      <c r="J134" s="7">
        <f>2*(I134)-7</f>
        <v>-5</v>
      </c>
    </row>
    <row r="135" spans="1:10" x14ac:dyDescent="0.3">
      <c r="A135" s="5">
        <v>1</v>
      </c>
      <c r="B135" s="7">
        <v>1</v>
      </c>
      <c r="C135" s="7">
        <v>2</v>
      </c>
      <c r="D135" s="7">
        <f>C135-(F135*(B135-C135))/(E135-F135)</f>
        <v>1.6666666666666667</v>
      </c>
      <c r="E135" s="7">
        <f t="shared" ref="E135:G144" si="37">B135^2-3</f>
        <v>-2</v>
      </c>
      <c r="F135" s="7">
        <f t="shared" si="37"/>
        <v>1</v>
      </c>
      <c r="G135" s="7">
        <f t="shared" si="37"/>
        <v>-0.22222222222222188</v>
      </c>
      <c r="I135" s="7">
        <v>1.2</v>
      </c>
      <c r="J135" s="7">
        <f t="shared" ref="J135:J141" si="38">2*(I135)-7</f>
        <v>-4.5999999999999996</v>
      </c>
    </row>
    <row r="136" spans="1:10" x14ac:dyDescent="0.3">
      <c r="A136" s="5">
        <f>A135+1</f>
        <v>2</v>
      </c>
      <c r="B136" s="7">
        <f>IF(E135*G135&lt;0,B135,D135)</f>
        <v>1.6666666666666667</v>
      </c>
      <c r="C136" s="7">
        <f>IF(F135*G135&lt;0,C135,D135)</f>
        <v>2</v>
      </c>
      <c r="D136" s="7">
        <f>C136-(F136*(B136-C136))/(E136-F136)</f>
        <v>1.7272727272727273</v>
      </c>
      <c r="E136" s="7">
        <f t="shared" si="37"/>
        <v>-0.22222222222222188</v>
      </c>
      <c r="F136" s="7">
        <f t="shared" si="37"/>
        <v>1</v>
      </c>
      <c r="G136" s="7">
        <f t="shared" si="37"/>
        <v>-1.6528925619834656E-2</v>
      </c>
      <c r="I136" s="7">
        <v>1.3</v>
      </c>
      <c r="J136" s="7">
        <f t="shared" si="38"/>
        <v>-4.4000000000000004</v>
      </c>
    </row>
    <row r="137" spans="1:10" x14ac:dyDescent="0.3">
      <c r="A137" s="5">
        <f t="shared" ref="A137:A144" si="39">A136+1</f>
        <v>3</v>
      </c>
      <c r="B137" s="7">
        <f t="shared" ref="B137:B144" si="40">IF(E136*G136&lt;0,B136,D136)</f>
        <v>1.7272727272727273</v>
      </c>
      <c r="C137" s="7">
        <f t="shared" ref="C137:C144" si="41">IF(F136*G136&lt;0,C136,D136)</f>
        <v>2</v>
      </c>
      <c r="D137" s="7">
        <f t="shared" ref="D137:D144" si="42">C137-(F137*(B137-C137))/(E137-F137)</f>
        <v>1.7317073170731707</v>
      </c>
      <c r="E137" s="7">
        <f t="shared" si="37"/>
        <v>-1.6528925619834656E-2</v>
      </c>
      <c r="F137" s="7">
        <f t="shared" si="37"/>
        <v>1</v>
      </c>
      <c r="G137" s="7">
        <f t="shared" si="37"/>
        <v>-1.1897679952408424E-3</v>
      </c>
      <c r="I137" s="7">
        <v>1.5</v>
      </c>
      <c r="J137" s="7">
        <f t="shared" si="38"/>
        <v>-4</v>
      </c>
    </row>
    <row r="138" spans="1:10" x14ac:dyDescent="0.3">
      <c r="A138" s="5">
        <f t="shared" si="39"/>
        <v>4</v>
      </c>
      <c r="B138" s="7">
        <f t="shared" si="40"/>
        <v>1.7317073170731707</v>
      </c>
      <c r="C138" s="7">
        <f t="shared" si="41"/>
        <v>2</v>
      </c>
      <c r="D138" s="7">
        <f t="shared" si="42"/>
        <v>1.7320261437908497</v>
      </c>
      <c r="E138" s="7">
        <f t="shared" si="37"/>
        <v>-1.1897679952408424E-3</v>
      </c>
      <c r="F138" s="7">
        <f t="shared" si="37"/>
        <v>1</v>
      </c>
      <c r="G138" s="7">
        <f t="shared" si="37"/>
        <v>-8.5437224998763384E-5</v>
      </c>
      <c r="I138" s="7">
        <v>1.6</v>
      </c>
      <c r="J138" s="7">
        <f t="shared" si="38"/>
        <v>-3.8</v>
      </c>
    </row>
    <row r="139" spans="1:10" x14ac:dyDescent="0.3">
      <c r="A139" s="5">
        <f t="shared" si="39"/>
        <v>5</v>
      </c>
      <c r="B139" s="7">
        <f t="shared" si="40"/>
        <v>1.7320261437908497</v>
      </c>
      <c r="C139" s="7">
        <f t="shared" si="41"/>
        <v>2</v>
      </c>
      <c r="D139" s="7">
        <f t="shared" si="42"/>
        <v>1.7320490367775832</v>
      </c>
      <c r="E139" s="7">
        <f t="shared" si="37"/>
        <v>-8.5437224998763384E-5</v>
      </c>
      <c r="F139" s="7">
        <f t="shared" si="37"/>
        <v>1</v>
      </c>
      <c r="G139" s="7">
        <f t="shared" si="37"/>
        <v>-6.1341978465634384E-6</v>
      </c>
      <c r="I139" s="7">
        <v>1.7</v>
      </c>
      <c r="J139" s="7">
        <f t="shared" si="38"/>
        <v>-3.6</v>
      </c>
    </row>
    <row r="140" spans="1:10" x14ac:dyDescent="0.3">
      <c r="A140" s="5">
        <f t="shared" si="39"/>
        <v>6</v>
      </c>
      <c r="B140" s="7">
        <f t="shared" si="40"/>
        <v>1.7320490367775832</v>
      </c>
      <c r="C140" s="7">
        <f t="shared" si="41"/>
        <v>2</v>
      </c>
      <c r="D140" s="7">
        <f t="shared" si="42"/>
        <v>1.7320506804317222</v>
      </c>
      <c r="E140" s="7">
        <f t="shared" si="37"/>
        <v>-6.1341978465634384E-6</v>
      </c>
      <c r="F140" s="7">
        <f t="shared" si="37"/>
        <v>1</v>
      </c>
      <c r="G140" s="7">
        <f t="shared" si="37"/>
        <v>-4.4041600810729165E-7</v>
      </c>
      <c r="I140" s="7">
        <v>1.9</v>
      </c>
      <c r="J140" s="7">
        <f t="shared" si="38"/>
        <v>-3.2</v>
      </c>
    </row>
    <row r="141" spans="1:10" x14ac:dyDescent="0.3">
      <c r="A141" s="5">
        <f t="shared" si="39"/>
        <v>7</v>
      </c>
      <c r="B141" s="7">
        <f t="shared" si="40"/>
        <v>1.7320506804317222</v>
      </c>
      <c r="C141" s="7">
        <f t="shared" si="41"/>
        <v>2</v>
      </c>
      <c r="D141" s="7">
        <f t="shared" si="42"/>
        <v>1.7320507984408398</v>
      </c>
      <c r="E141" s="7">
        <f t="shared" si="37"/>
        <v>-4.4041600810729165E-7</v>
      </c>
      <c r="F141" s="7">
        <f t="shared" si="37"/>
        <v>1</v>
      </c>
      <c r="G141" s="7">
        <f t="shared" si="37"/>
        <v>-3.162044936999564E-8</v>
      </c>
      <c r="I141" s="7">
        <v>2</v>
      </c>
      <c r="J141" s="7">
        <f t="shared" si="38"/>
        <v>-3</v>
      </c>
    </row>
    <row r="142" spans="1:10" x14ac:dyDescent="0.3">
      <c r="A142" s="5">
        <f t="shared" si="39"/>
        <v>8</v>
      </c>
      <c r="B142" s="7">
        <f t="shared" si="40"/>
        <v>1.7320507984408398</v>
      </c>
      <c r="C142" s="7">
        <f t="shared" si="41"/>
        <v>2</v>
      </c>
      <c r="D142" s="7">
        <f t="shared" si="42"/>
        <v>1.7320508069135137</v>
      </c>
      <c r="E142" s="7">
        <f t="shared" si="37"/>
        <v>-3.162044936999564E-8</v>
      </c>
      <c r="F142" s="7">
        <f t="shared" si="37"/>
        <v>1</v>
      </c>
      <c r="G142" s="7">
        <f t="shared" si="37"/>
        <v>-2.2702462132428991E-9</v>
      </c>
    </row>
    <row r="143" spans="1:10" x14ac:dyDescent="0.3">
      <c r="A143" s="5">
        <f t="shared" si="39"/>
        <v>9</v>
      </c>
      <c r="B143" s="7">
        <f t="shared" si="40"/>
        <v>1.7320508069135137</v>
      </c>
      <c r="C143" s="7">
        <f t="shared" si="41"/>
        <v>2</v>
      </c>
      <c r="D143" s="7">
        <f t="shared" si="42"/>
        <v>1.7320508075218242</v>
      </c>
      <c r="E143" s="7">
        <f t="shared" si="37"/>
        <v>-2.2702462132428991E-9</v>
      </c>
      <c r="F143" s="7">
        <f t="shared" si="37"/>
        <v>1</v>
      </c>
      <c r="G143" s="7">
        <f t="shared" si="37"/>
        <v>-1.6299672722652758E-10</v>
      </c>
    </row>
    <row r="144" spans="1:10" x14ac:dyDescent="0.3">
      <c r="A144" s="5">
        <f t="shared" si="39"/>
        <v>10</v>
      </c>
      <c r="B144" s="7">
        <f t="shared" si="40"/>
        <v>1.7320508075218242</v>
      </c>
      <c r="C144" s="7">
        <f t="shared" si="41"/>
        <v>2</v>
      </c>
      <c r="D144" s="7">
        <f t="shared" si="42"/>
        <v>1.732050807565499</v>
      </c>
      <c r="E144" s="7">
        <f t="shared" si="37"/>
        <v>-1.6299672722652758E-10</v>
      </c>
      <c r="F144" s="7">
        <f t="shared" si="37"/>
        <v>1</v>
      </c>
      <c r="G144" s="7">
        <f t="shared" si="37"/>
        <v>-1.170263885796885E-11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3A8F-8391-4403-8791-226787B8C8DC}">
  <sheetPr>
    <tabColor rgb="FF00CC00"/>
  </sheetPr>
  <dimension ref="A1:F20"/>
  <sheetViews>
    <sheetView tabSelected="1" topLeftCell="A17" workbookViewId="0">
      <selection activeCell="H26" sqref="H26"/>
    </sheetView>
  </sheetViews>
  <sheetFormatPr baseColWidth="10" defaultRowHeight="14.4" x14ac:dyDescent="0.3"/>
  <sheetData>
    <row r="1" spans="1:6" ht="16.8" x14ac:dyDescent="0.3">
      <c r="A1" s="40" t="s">
        <v>66</v>
      </c>
      <c r="B1" s="41"/>
      <c r="C1" s="41"/>
      <c r="D1" s="41"/>
      <c r="E1" s="41"/>
      <c r="F1" s="41"/>
    </row>
    <row r="2" spans="1:6" ht="15" thickBot="1" x14ac:dyDescent="0.35"/>
    <row r="3" spans="1:6" x14ac:dyDescent="0.3">
      <c r="A3" s="42" t="s">
        <v>67</v>
      </c>
      <c r="B3" s="42" t="s">
        <v>68</v>
      </c>
      <c r="C3" s="42" t="s">
        <v>69</v>
      </c>
      <c r="D3" s="42" t="s">
        <v>70</v>
      </c>
      <c r="E3" s="42" t="s">
        <v>71</v>
      </c>
      <c r="F3" s="42" t="s">
        <v>72</v>
      </c>
    </row>
    <row r="4" spans="1:6" ht="57.6" x14ac:dyDescent="0.3">
      <c r="A4" s="43">
        <v>1</v>
      </c>
      <c r="B4" s="43" t="s">
        <v>73</v>
      </c>
      <c r="C4" s="43" t="s">
        <v>74</v>
      </c>
      <c r="D4" s="43" t="s">
        <v>75</v>
      </c>
      <c r="E4" s="43" t="s">
        <v>76</v>
      </c>
      <c r="F4" s="43">
        <v>4</v>
      </c>
    </row>
    <row r="5" spans="1:6" ht="57.6" x14ac:dyDescent="0.3">
      <c r="A5" s="43">
        <v>2</v>
      </c>
      <c r="B5" s="43" t="s">
        <v>77</v>
      </c>
      <c r="C5" s="43" t="s">
        <v>78</v>
      </c>
      <c r="D5" s="43" t="s">
        <v>75</v>
      </c>
      <c r="E5" s="43" t="s">
        <v>76</v>
      </c>
      <c r="F5" s="43">
        <v>4</v>
      </c>
    </row>
    <row r="6" spans="1:6" ht="57.6" x14ac:dyDescent="0.3">
      <c r="A6" s="43">
        <v>3</v>
      </c>
      <c r="B6" s="43" t="s">
        <v>79</v>
      </c>
      <c r="C6" s="43" t="s">
        <v>80</v>
      </c>
      <c r="D6" s="43" t="s">
        <v>75</v>
      </c>
      <c r="E6" s="43" t="s">
        <v>76</v>
      </c>
      <c r="F6" s="43">
        <v>4</v>
      </c>
    </row>
    <row r="7" spans="1:6" ht="72" x14ac:dyDescent="0.3">
      <c r="A7" s="43">
        <v>4</v>
      </c>
      <c r="B7" s="43" t="s">
        <v>81</v>
      </c>
      <c r="C7" s="43" t="s">
        <v>82</v>
      </c>
      <c r="D7" s="43" t="s">
        <v>75</v>
      </c>
      <c r="E7" s="43" t="s">
        <v>76</v>
      </c>
      <c r="F7" s="43">
        <v>4</v>
      </c>
    </row>
    <row r="8" spans="1:6" ht="72" x14ac:dyDescent="0.3">
      <c r="A8" s="43">
        <v>5</v>
      </c>
      <c r="B8" s="43" t="s">
        <v>83</v>
      </c>
      <c r="C8" s="43" t="s">
        <v>84</v>
      </c>
      <c r="D8" s="43" t="s">
        <v>75</v>
      </c>
      <c r="E8" s="43" t="s">
        <v>76</v>
      </c>
      <c r="F8" s="43">
        <v>5</v>
      </c>
    </row>
    <row r="9" spans="1:6" ht="72" x14ac:dyDescent="0.3">
      <c r="A9" s="44">
        <v>6</v>
      </c>
      <c r="B9" s="44" t="s">
        <v>85</v>
      </c>
      <c r="C9" s="44" t="s">
        <v>84</v>
      </c>
      <c r="D9" s="44" t="s">
        <v>86</v>
      </c>
      <c r="E9" s="44" t="s">
        <v>76</v>
      </c>
      <c r="F9" s="44">
        <v>2</v>
      </c>
    </row>
    <row r="10" spans="1:6" ht="43.2" x14ac:dyDescent="0.3">
      <c r="A10" s="45">
        <v>7</v>
      </c>
      <c r="B10" s="45" t="s">
        <v>87</v>
      </c>
      <c r="C10" s="45" t="s">
        <v>74</v>
      </c>
      <c r="D10" s="45" t="s">
        <v>88</v>
      </c>
      <c r="E10" s="45" t="s">
        <v>89</v>
      </c>
      <c r="F10" s="45">
        <v>2</v>
      </c>
    </row>
    <row r="11" spans="1:6" ht="43.2" x14ac:dyDescent="0.3">
      <c r="A11" s="45">
        <v>8</v>
      </c>
      <c r="B11" s="45" t="s">
        <v>90</v>
      </c>
      <c r="C11" s="45" t="s">
        <v>78</v>
      </c>
      <c r="D11" s="45" t="s">
        <v>88</v>
      </c>
      <c r="E11" s="45" t="s">
        <v>89</v>
      </c>
      <c r="F11" s="45">
        <v>2</v>
      </c>
    </row>
    <row r="12" spans="1:6" ht="43.2" x14ac:dyDescent="0.3">
      <c r="A12" s="45">
        <v>9</v>
      </c>
      <c r="B12" s="45" t="s">
        <v>91</v>
      </c>
      <c r="C12" s="45" t="s">
        <v>80</v>
      </c>
      <c r="D12" s="45" t="s">
        <v>88</v>
      </c>
      <c r="E12" s="45" t="s">
        <v>89</v>
      </c>
      <c r="F12" s="45">
        <v>2</v>
      </c>
    </row>
    <row r="13" spans="1:6" ht="43.2" x14ac:dyDescent="0.3">
      <c r="A13" s="45">
        <v>10</v>
      </c>
      <c r="B13" s="45" t="s">
        <v>92</v>
      </c>
      <c r="C13" s="45" t="s">
        <v>82</v>
      </c>
      <c r="D13" s="45" t="s">
        <v>88</v>
      </c>
      <c r="E13" s="45" t="s">
        <v>93</v>
      </c>
      <c r="F13" s="45">
        <v>2</v>
      </c>
    </row>
    <row r="14" spans="1:6" ht="28.8" x14ac:dyDescent="0.3">
      <c r="A14" s="44">
        <v>11</v>
      </c>
      <c r="B14" s="44" t="s">
        <v>94</v>
      </c>
      <c r="C14" s="44" t="s">
        <v>74</v>
      </c>
      <c r="D14" s="44" t="s">
        <v>86</v>
      </c>
      <c r="E14" s="44" t="s">
        <v>89</v>
      </c>
      <c r="F14" s="44">
        <v>1</v>
      </c>
    </row>
    <row r="15" spans="1:6" ht="43.2" x14ac:dyDescent="0.3">
      <c r="A15" s="44">
        <v>12</v>
      </c>
      <c r="B15" s="44" t="s">
        <v>95</v>
      </c>
      <c r="C15" s="44" t="s">
        <v>78</v>
      </c>
      <c r="D15" s="44" t="s">
        <v>86</v>
      </c>
      <c r="E15" s="44" t="s">
        <v>76</v>
      </c>
      <c r="F15" s="44">
        <v>2</v>
      </c>
    </row>
    <row r="16" spans="1:6" ht="28.8" x14ac:dyDescent="0.3">
      <c r="A16" s="44">
        <v>13</v>
      </c>
      <c r="B16" s="44" t="s">
        <v>96</v>
      </c>
      <c r="C16" s="44" t="s">
        <v>80</v>
      </c>
      <c r="D16" s="44" t="s">
        <v>86</v>
      </c>
      <c r="E16" s="44" t="s">
        <v>89</v>
      </c>
      <c r="F16" s="44">
        <v>1</v>
      </c>
    </row>
    <row r="17" spans="1:6" ht="43.2" x14ac:dyDescent="0.3">
      <c r="A17" s="44">
        <v>14</v>
      </c>
      <c r="B17" s="44" t="s">
        <v>97</v>
      </c>
      <c r="C17" s="44" t="s">
        <v>82</v>
      </c>
      <c r="D17" s="44" t="s">
        <v>86</v>
      </c>
      <c r="E17" s="44" t="s">
        <v>76</v>
      </c>
      <c r="F17" s="44">
        <v>3</v>
      </c>
    </row>
    <row r="18" spans="1:6" ht="28.8" x14ac:dyDescent="0.3">
      <c r="A18" s="44">
        <v>15</v>
      </c>
      <c r="B18" s="44" t="s">
        <v>98</v>
      </c>
      <c r="C18" s="44" t="s">
        <v>84</v>
      </c>
      <c r="D18" s="44" t="s">
        <v>86</v>
      </c>
      <c r="E18" s="44" t="s">
        <v>76</v>
      </c>
      <c r="F18" s="44">
        <v>2</v>
      </c>
    </row>
    <row r="19" spans="1:6" ht="28.8" x14ac:dyDescent="0.3">
      <c r="A19" s="44">
        <v>16</v>
      </c>
      <c r="B19" s="44" t="s">
        <v>99</v>
      </c>
      <c r="C19" s="44" t="s">
        <v>80</v>
      </c>
      <c r="D19" s="44" t="s">
        <v>86</v>
      </c>
      <c r="E19" s="44" t="s">
        <v>76</v>
      </c>
      <c r="F19" s="44">
        <v>2</v>
      </c>
    </row>
    <row r="20" spans="1:6" ht="28.8" x14ac:dyDescent="0.3">
      <c r="A20" s="44">
        <v>17</v>
      </c>
      <c r="B20" s="44" t="s">
        <v>100</v>
      </c>
      <c r="C20" s="44" t="s">
        <v>78</v>
      </c>
      <c r="D20" s="44" t="s">
        <v>86</v>
      </c>
      <c r="E20" s="44" t="s">
        <v>76</v>
      </c>
      <c r="F20" s="44">
        <v>1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"/>
  <sheetViews>
    <sheetView zoomScale="46"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0033"/>
  </sheetPr>
  <dimension ref="A1"/>
  <sheetViews>
    <sheetView workbookViewId="0">
      <selection activeCell="M23" sqref="M23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Portada</vt:lpstr>
      <vt:lpstr>Contenido</vt:lpstr>
      <vt:lpstr>Método de Newton Raphson</vt:lpstr>
      <vt:lpstr>Método de la secante</vt:lpstr>
      <vt:lpstr>Método de Bisección</vt:lpstr>
      <vt:lpstr>Método de Falsa posición</vt:lpstr>
      <vt:lpstr>Tablero Scrum</vt:lpstr>
      <vt:lpstr>Github</vt:lpstr>
      <vt:lpstr>Conclusiones</vt:lpstr>
      <vt:lpstr>Referencias</vt:lpstr>
      <vt:lpstr>euler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Aguilar Sánchez</dc:creator>
  <cp:lastModifiedBy>Ariana Aguilar Sánchez</cp:lastModifiedBy>
  <dcterms:created xsi:type="dcterms:W3CDTF">2026-02-21T17:11:55Z</dcterms:created>
  <dcterms:modified xsi:type="dcterms:W3CDTF">2026-02-23T17:33:04Z</dcterms:modified>
</cp:coreProperties>
</file>